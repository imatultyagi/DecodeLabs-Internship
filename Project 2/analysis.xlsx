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2\Desktop\DecodeLabs\Project 2\"/>
    </mc:Choice>
  </mc:AlternateContent>
  <xr:revisionPtr revIDLastSave="0" documentId="8_{2B0F7E74-7174-4BF7-974F-40F055B718EE}" xr6:coauthVersionLast="47" xr6:coauthVersionMax="47" xr10:uidLastSave="{00000000-0000-0000-0000-000000000000}"/>
  <bookViews>
    <workbookView xWindow="-103" yWindow="-103" windowWidth="16663" windowHeight="8743" xr2:uid="{7FE24715-4EA0-4CAC-9F67-CAB967CC05E5}"/>
  </bookViews>
  <sheets>
    <sheet name="Sheet1" sheetId="1" r:id="rId1"/>
  </sheets>
  <externalReferences>
    <externalReference r:id="rId2"/>
  </externalReferences>
  <calcPr calcId="19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</calcChain>
</file>

<file path=xl/sharedStrings.xml><?xml version="1.0" encoding="utf-8"?>
<sst xmlns="http://schemas.openxmlformats.org/spreadsheetml/2006/main" count="74" uniqueCount="65">
  <si>
    <t>1. Basic Statistics</t>
  </si>
  <si>
    <t>Metric</t>
  </si>
  <si>
    <t>Quantity</t>
  </si>
  <si>
    <t>UnitPrice</t>
  </si>
  <si>
    <t>ItemInCart</t>
  </si>
  <si>
    <t>TotalPrice</t>
  </si>
  <si>
    <t>Count</t>
  </si>
  <si>
    <t>Average</t>
  </si>
  <si>
    <t>Median</t>
  </si>
  <si>
    <t>Minimum</t>
  </si>
  <si>
    <t>Maximum</t>
  </si>
  <si>
    <t>Observations</t>
  </si>
  <si>
    <t>A total of 1200 transaction records were analyzed.</t>
  </si>
  <si>
    <t>The average quantity purchased per order was 2.95 units.</t>
  </si>
  <si>
    <t>The average unit price was 356.41, while the average order value was 1053.97.</t>
  </si>
  <si>
    <t>The highest order value recorded was 3456.40, whereas the lowest order value was 11.39.</t>
  </si>
  <si>
    <t>The median order value (823.62) is lower than the average order value (1053.97), indicating the presence of some high-value transactions.</t>
  </si>
  <si>
    <t>2. Payment Method Distribution</t>
  </si>
  <si>
    <t>Row Labels</t>
  </si>
  <si>
    <t>PaymentMethod Analysis</t>
  </si>
  <si>
    <t>Cash</t>
  </si>
  <si>
    <t>Credit Card</t>
  </si>
  <si>
    <t>Debit Card</t>
  </si>
  <si>
    <t>Gift Card</t>
  </si>
  <si>
    <t>Online</t>
  </si>
  <si>
    <t>Grand Total</t>
  </si>
  <si>
    <t>Online payment was the most frequently used payment method with 258 transactions.</t>
  </si>
  <si>
    <t>Gift Card was the least used payment method with 230 transactions.</t>
  </si>
  <si>
    <t>Cash, Credit Card, Debit Card, and Online payments were used almost equally across transactions.</t>
  </si>
  <si>
    <t>The payment method distribution shows a balanced customer preference across multiple payment options.</t>
  </si>
  <si>
    <t>3. Order Status Distribution</t>
  </si>
  <si>
    <t>OrderStatus Analysis</t>
  </si>
  <si>
    <t>Cancelled</t>
  </si>
  <si>
    <t>Delivered</t>
  </si>
  <si>
    <t>Pending</t>
  </si>
  <si>
    <t>Returned</t>
  </si>
  <si>
    <t>Shipped</t>
  </si>
  <si>
    <t>Cancelled orders were the most common with 250 transactions.</t>
  </si>
  <si>
    <t>Delivered orders were the least common with 231 transactions.</t>
  </si>
  <si>
    <t>The difference between order statuses is relatively small, indicating a balanced distribution.</t>
  </si>
  <si>
    <t>Order statuses such as Pending, Shipped, and Returned occurred at similar frequencies.</t>
  </si>
  <si>
    <t>4. Referral Source Distribution</t>
  </si>
  <si>
    <t>ReferralSource Analysis</t>
  </si>
  <si>
    <t>Email</t>
  </si>
  <si>
    <t>Facebook</t>
  </si>
  <si>
    <t>Google</t>
  </si>
  <si>
    <t>Instagram</t>
  </si>
  <si>
    <t>Referral</t>
  </si>
  <si>
    <t>Instagram generated the highest number of referrals with 259 customers.</t>
  </si>
  <si>
    <t>Referral was the least common source with 222 customers.</t>
  </si>
  <si>
    <t>Email, Google, Facebook, and Instagram all contributed significantly to customer acquisition.</t>
  </si>
  <si>
    <t>Customer traffic was distributed across multiple marketing channels rather than depending on a single source.</t>
  </si>
  <si>
    <t>5. Distribution Analysis</t>
  </si>
  <si>
    <t>Transaction records are distributed across various payment methods, order statuses, and referral channels.</t>
  </si>
  <si>
    <t>No single category dominates the dataset, indicating balanced customer behavior.</t>
  </si>
  <si>
    <t>The dataset provides a diverse representation of e-commerce transactions.</t>
  </si>
  <si>
    <t>6. Final Key Findings</t>
  </si>
  <si>
    <t>Total records analyzed: 1200</t>
  </si>
  <si>
    <t>Average order value: 1053.97</t>
  </si>
  <si>
    <t>Average quantity purchased per order: 2.95</t>
  </si>
  <si>
    <t>Most used payment method: Online (258 transactions)</t>
  </si>
  <si>
    <t>Most common order status: Cancelled (250 transactions)</t>
  </si>
  <si>
    <t>Top referral source: Instagram (259 referrals)</t>
  </si>
  <si>
    <t>Highest order value recorded: 3456.40</t>
  </si>
  <si>
    <t>Customer acquisition and payment preferences were distributed across multiple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</si>
</sst>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36-467A-BD25-F794375678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36-467A-BD25-F79437567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636-467A-BD25-F794375678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636-467A-BD25-F794375678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636-467A-BD25-F79437567826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36-467A-BD25-F7943756782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36-467A-BD25-F7943756782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36-467A-BD25-F7943756782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36-467A-BD25-F79437567826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36-467A-BD25-F794375678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A-7636-467A-BD25-F79437567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759574</xdr:colOff>
      <xdr:row>37</xdr:row>
      <xdr:rowOff>174827</xdr:rowOff>
    </xdr:from>
    <xdr:to>
      <xdr:col>7</xdr:col>
      <xdr:colOff>416871</xdr:colOff>
      <xdr:row>50</xdr:row>
      <xdr:rowOff>23870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AE783-BDBC-4E30-920A-3A3378B26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Downloads/E-Commerce%20Sales%20Data%20Processing%20Using%20Excel.xlsx" TargetMode="External"/><Relationship Id="rId2" Type="http://schemas.openxmlformats.org/officeDocument/2006/relationships/externalLinkPath" Target="file:///C:\Users\91972\Documents\Downloads\E-Commerce%20Sales%20Data%20Processing%20Using%20Excel.xlsx" TargetMode="External"/><Relationship Id="rId1" Type="http://schemas.openxmlformats.org/officeDocument/2006/relationships/externalLinkPath" Target="/Users/91972/Documents/Downloads/E-Commerce%20Sales%20Data%20Processing%20Using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5"/>
      <sheetName val="Sheet6"/>
      <sheetName val="Sheet7"/>
      <sheetName val="Sheet8"/>
      <sheetName val="Sheet1"/>
      <sheetName val="Sheet2"/>
    </sheetNames>
    <sheetDataSet>
      <sheetData sheetId="0"/>
      <sheetData sheetId="1"/>
      <sheetData sheetId="2"/>
      <sheetData sheetId="3"/>
      <sheetData sheetId="4">
        <row r="2">
          <cell r="F2">
            <v>570.62</v>
          </cell>
        </row>
        <row r="3">
          <cell r="F3">
            <v>151.35</v>
          </cell>
        </row>
        <row r="4">
          <cell r="F4">
            <v>550.67999999999995</v>
          </cell>
        </row>
        <row r="5">
          <cell r="F5">
            <v>273.19</v>
          </cell>
        </row>
        <row r="6">
          <cell r="F6">
            <v>626.01</v>
          </cell>
        </row>
        <row r="7">
          <cell r="F7">
            <v>245.86</v>
          </cell>
        </row>
        <row r="8">
          <cell r="F8">
            <v>664.42</v>
          </cell>
        </row>
        <row r="9">
          <cell r="F9">
            <v>149.55000000000001</v>
          </cell>
        </row>
        <row r="10">
          <cell r="F10">
            <v>134.28</v>
          </cell>
        </row>
        <row r="11">
          <cell r="F11">
            <v>509.38</v>
          </cell>
        </row>
        <row r="12">
          <cell r="F12">
            <v>625.97</v>
          </cell>
        </row>
        <row r="13">
          <cell r="F13">
            <v>49.14</v>
          </cell>
        </row>
        <row r="14">
          <cell r="F14">
            <v>180.5</v>
          </cell>
        </row>
        <row r="15">
          <cell r="F15">
            <v>201.49</v>
          </cell>
        </row>
        <row r="16">
          <cell r="F16">
            <v>393.33</v>
          </cell>
        </row>
        <row r="17">
          <cell r="F17">
            <v>473.96</v>
          </cell>
        </row>
        <row r="18">
          <cell r="F18">
            <v>533.80999999999995</v>
          </cell>
        </row>
        <row r="19">
          <cell r="F19">
            <v>423.4</v>
          </cell>
        </row>
        <row r="20">
          <cell r="F20">
            <v>431.44</v>
          </cell>
        </row>
        <row r="21">
          <cell r="F21">
            <v>224</v>
          </cell>
        </row>
        <row r="22">
          <cell r="F22">
            <v>62.51</v>
          </cell>
        </row>
        <row r="23">
          <cell r="F23">
            <v>342.95</v>
          </cell>
        </row>
        <row r="24">
          <cell r="F24">
            <v>49.62</v>
          </cell>
        </row>
        <row r="25">
          <cell r="F25">
            <v>273.25</v>
          </cell>
        </row>
        <row r="26">
          <cell r="F26">
            <v>230.95</v>
          </cell>
        </row>
        <row r="27">
          <cell r="F27">
            <v>399.98</v>
          </cell>
        </row>
        <row r="28">
          <cell r="F28">
            <v>59.55</v>
          </cell>
        </row>
        <row r="29">
          <cell r="F29">
            <v>472.74</v>
          </cell>
        </row>
        <row r="30">
          <cell r="F30">
            <v>160.07</v>
          </cell>
        </row>
        <row r="31">
          <cell r="F31">
            <v>423.53</v>
          </cell>
        </row>
        <row r="32">
          <cell r="F32">
            <v>426.7</v>
          </cell>
        </row>
        <row r="33">
          <cell r="F33">
            <v>500.08</v>
          </cell>
        </row>
        <row r="34">
          <cell r="F34">
            <v>536.72</v>
          </cell>
        </row>
        <row r="35">
          <cell r="F35">
            <v>162.77000000000001</v>
          </cell>
        </row>
        <row r="36">
          <cell r="F36">
            <v>576.52</v>
          </cell>
        </row>
        <row r="37">
          <cell r="F37">
            <v>465.15</v>
          </cell>
        </row>
        <row r="38">
          <cell r="F38">
            <v>534.42999999999995</v>
          </cell>
        </row>
        <row r="39">
          <cell r="F39">
            <v>76.739999999999995</v>
          </cell>
        </row>
        <row r="40">
          <cell r="F40">
            <v>245.89</v>
          </cell>
        </row>
        <row r="41">
          <cell r="F41">
            <v>256.45999999999998</v>
          </cell>
        </row>
        <row r="42">
          <cell r="F42">
            <v>344.02</v>
          </cell>
        </row>
        <row r="43">
          <cell r="F43">
            <v>611.45000000000005</v>
          </cell>
        </row>
        <row r="44">
          <cell r="F44">
            <v>151.66</v>
          </cell>
        </row>
        <row r="45">
          <cell r="F45">
            <v>499.21</v>
          </cell>
        </row>
        <row r="46">
          <cell r="F46">
            <v>550.17999999999995</v>
          </cell>
        </row>
        <row r="47">
          <cell r="F47">
            <v>317.25</v>
          </cell>
        </row>
        <row r="48">
          <cell r="F48">
            <v>550.14</v>
          </cell>
        </row>
        <row r="49">
          <cell r="F49">
            <v>209.94</v>
          </cell>
        </row>
        <row r="50">
          <cell r="F50">
            <v>80.77</v>
          </cell>
        </row>
        <row r="51">
          <cell r="F51">
            <v>30.44</v>
          </cell>
        </row>
        <row r="52">
          <cell r="F52">
            <v>179.22</v>
          </cell>
        </row>
        <row r="53">
          <cell r="F53">
            <v>388.33</v>
          </cell>
        </row>
        <row r="54">
          <cell r="F54">
            <v>586.44000000000005</v>
          </cell>
        </row>
        <row r="55">
          <cell r="F55">
            <v>488.78</v>
          </cell>
        </row>
        <row r="56">
          <cell r="F56">
            <v>280.25</v>
          </cell>
        </row>
        <row r="57">
          <cell r="F57">
            <v>344.4</v>
          </cell>
        </row>
        <row r="58">
          <cell r="F58">
            <v>479.21</v>
          </cell>
        </row>
        <row r="59">
          <cell r="F59">
            <v>314.27</v>
          </cell>
        </row>
        <row r="60">
          <cell r="F60">
            <v>474.69</v>
          </cell>
        </row>
        <row r="61">
          <cell r="F61">
            <v>593.27</v>
          </cell>
        </row>
        <row r="62">
          <cell r="F62">
            <v>417.1</v>
          </cell>
        </row>
        <row r="63">
          <cell r="F63">
            <v>122.2</v>
          </cell>
        </row>
        <row r="64">
          <cell r="F64">
            <v>43.15</v>
          </cell>
        </row>
        <row r="65">
          <cell r="F65">
            <v>564.86</v>
          </cell>
        </row>
        <row r="66">
          <cell r="F66">
            <v>130.61000000000001</v>
          </cell>
        </row>
        <row r="67">
          <cell r="F67">
            <v>81.7</v>
          </cell>
        </row>
        <row r="68">
          <cell r="F68">
            <v>127.18</v>
          </cell>
        </row>
        <row r="69">
          <cell r="F69">
            <v>12.1</v>
          </cell>
        </row>
        <row r="70">
          <cell r="F70">
            <v>490.92</v>
          </cell>
        </row>
        <row r="71">
          <cell r="F71">
            <v>478.65</v>
          </cell>
        </row>
        <row r="72">
          <cell r="F72">
            <v>629.21</v>
          </cell>
        </row>
        <row r="73">
          <cell r="F73">
            <v>434.45</v>
          </cell>
        </row>
        <row r="74">
          <cell r="F74">
            <v>589.44000000000005</v>
          </cell>
        </row>
        <row r="75">
          <cell r="F75">
            <v>433.45</v>
          </cell>
        </row>
        <row r="76">
          <cell r="F76">
            <v>90.87</v>
          </cell>
        </row>
        <row r="77">
          <cell r="F77">
            <v>398.17</v>
          </cell>
        </row>
        <row r="78">
          <cell r="F78">
            <v>382.88</v>
          </cell>
        </row>
        <row r="79">
          <cell r="F79">
            <v>583.17999999999995</v>
          </cell>
        </row>
        <row r="80">
          <cell r="F80">
            <v>175.36</v>
          </cell>
        </row>
        <row r="81">
          <cell r="F81">
            <v>311.91000000000003</v>
          </cell>
        </row>
        <row r="82">
          <cell r="F82">
            <v>589.55999999999995</v>
          </cell>
        </row>
        <row r="83">
          <cell r="F83">
            <v>394.3</v>
          </cell>
        </row>
        <row r="84">
          <cell r="F84">
            <v>565.20000000000005</v>
          </cell>
        </row>
        <row r="85">
          <cell r="F85">
            <v>540.41</v>
          </cell>
        </row>
        <row r="86">
          <cell r="F86">
            <v>165.49</v>
          </cell>
        </row>
        <row r="87">
          <cell r="F87">
            <v>146.72999999999999</v>
          </cell>
        </row>
        <row r="88">
          <cell r="F88">
            <v>643.03</v>
          </cell>
        </row>
        <row r="89">
          <cell r="F89">
            <v>225.11</v>
          </cell>
        </row>
        <row r="90">
          <cell r="F90">
            <v>114.81</v>
          </cell>
        </row>
        <row r="91">
          <cell r="F91">
            <v>455.33</v>
          </cell>
        </row>
        <row r="92">
          <cell r="F92">
            <v>182.08</v>
          </cell>
        </row>
        <row r="93">
          <cell r="F93">
            <v>492.75</v>
          </cell>
        </row>
        <row r="94">
          <cell r="F94">
            <v>48.61</v>
          </cell>
        </row>
        <row r="95">
          <cell r="F95">
            <v>431.01</v>
          </cell>
        </row>
        <row r="96">
          <cell r="F96">
            <v>531.17999999999995</v>
          </cell>
        </row>
        <row r="97">
          <cell r="F97">
            <v>117.51</v>
          </cell>
        </row>
        <row r="98">
          <cell r="F98">
            <v>232.83</v>
          </cell>
        </row>
        <row r="99">
          <cell r="F99">
            <v>619.52</v>
          </cell>
        </row>
        <row r="100">
          <cell r="F100">
            <v>228.54</v>
          </cell>
        </row>
        <row r="101">
          <cell r="F101">
            <v>201.58</v>
          </cell>
        </row>
        <row r="102">
          <cell r="F102">
            <v>664.79</v>
          </cell>
        </row>
        <row r="103">
          <cell r="F103">
            <v>381.02</v>
          </cell>
        </row>
        <row r="104">
          <cell r="F104">
            <v>70.34</v>
          </cell>
        </row>
        <row r="105">
          <cell r="F105">
            <v>218.43</v>
          </cell>
        </row>
        <row r="106">
          <cell r="F106">
            <v>582.04</v>
          </cell>
        </row>
        <row r="107">
          <cell r="F107">
            <v>185.4</v>
          </cell>
        </row>
        <row r="108">
          <cell r="F108">
            <v>465.05</v>
          </cell>
        </row>
        <row r="109">
          <cell r="F109">
            <v>670.75</v>
          </cell>
        </row>
        <row r="110">
          <cell r="F110">
            <v>48.38</v>
          </cell>
        </row>
        <row r="111">
          <cell r="F111">
            <v>592.87</v>
          </cell>
        </row>
        <row r="112">
          <cell r="F112">
            <v>220.77</v>
          </cell>
        </row>
        <row r="113">
          <cell r="F113">
            <v>309.22000000000003</v>
          </cell>
        </row>
        <row r="114">
          <cell r="F114">
            <v>410.6</v>
          </cell>
        </row>
        <row r="115">
          <cell r="F115">
            <v>190.08</v>
          </cell>
        </row>
        <row r="116">
          <cell r="F116">
            <v>498.48</v>
          </cell>
        </row>
        <row r="117">
          <cell r="F117">
            <v>374.99</v>
          </cell>
        </row>
        <row r="118">
          <cell r="F118">
            <v>291.35000000000002</v>
          </cell>
        </row>
        <row r="119">
          <cell r="F119">
            <v>535.5</v>
          </cell>
        </row>
        <row r="120">
          <cell r="F120">
            <v>502.71</v>
          </cell>
        </row>
        <row r="121">
          <cell r="F121">
            <v>534.66999999999996</v>
          </cell>
        </row>
        <row r="122">
          <cell r="F122">
            <v>629.34</v>
          </cell>
        </row>
        <row r="123">
          <cell r="F123">
            <v>410.78</v>
          </cell>
        </row>
        <row r="124">
          <cell r="F124">
            <v>533.02</v>
          </cell>
        </row>
        <row r="125">
          <cell r="F125">
            <v>278.04000000000002</v>
          </cell>
        </row>
        <row r="126">
          <cell r="F126">
            <v>283.79000000000002</v>
          </cell>
        </row>
        <row r="127">
          <cell r="F127">
            <v>512.65</v>
          </cell>
        </row>
        <row r="128">
          <cell r="F128">
            <v>275.5</v>
          </cell>
        </row>
        <row r="129">
          <cell r="F129">
            <v>469.32</v>
          </cell>
        </row>
        <row r="130">
          <cell r="F130">
            <v>21.07</v>
          </cell>
        </row>
        <row r="131">
          <cell r="F131">
            <v>263.93</v>
          </cell>
        </row>
        <row r="132">
          <cell r="F132">
            <v>501.3</v>
          </cell>
        </row>
        <row r="133">
          <cell r="F133">
            <v>84.8</v>
          </cell>
        </row>
        <row r="134">
          <cell r="F134">
            <v>450.75</v>
          </cell>
        </row>
        <row r="135">
          <cell r="F135">
            <v>302.05</v>
          </cell>
        </row>
        <row r="136">
          <cell r="F136">
            <v>199.7</v>
          </cell>
        </row>
        <row r="137">
          <cell r="F137">
            <v>68.81</v>
          </cell>
        </row>
        <row r="138">
          <cell r="F138">
            <v>44.35</v>
          </cell>
        </row>
        <row r="139">
          <cell r="F139">
            <v>250.98</v>
          </cell>
        </row>
        <row r="140">
          <cell r="F140">
            <v>298.06</v>
          </cell>
        </row>
        <row r="141">
          <cell r="F141">
            <v>583.9</v>
          </cell>
        </row>
        <row r="142">
          <cell r="F142">
            <v>528.14</v>
          </cell>
        </row>
        <row r="143">
          <cell r="F143">
            <v>684.14</v>
          </cell>
        </row>
        <row r="144">
          <cell r="F144">
            <v>272.77</v>
          </cell>
        </row>
        <row r="145">
          <cell r="F145">
            <v>400.07</v>
          </cell>
        </row>
        <row r="146">
          <cell r="F146">
            <v>219.78</v>
          </cell>
        </row>
        <row r="147">
          <cell r="F147">
            <v>146.91</v>
          </cell>
        </row>
        <row r="148">
          <cell r="F148">
            <v>411.49</v>
          </cell>
        </row>
        <row r="149">
          <cell r="F149">
            <v>465.18</v>
          </cell>
        </row>
        <row r="150">
          <cell r="F150">
            <v>319.91000000000003</v>
          </cell>
        </row>
        <row r="151">
          <cell r="F151">
            <v>217.56</v>
          </cell>
        </row>
        <row r="152">
          <cell r="F152">
            <v>105.57</v>
          </cell>
        </row>
        <row r="153">
          <cell r="F153">
            <v>444.76</v>
          </cell>
        </row>
        <row r="154">
          <cell r="F154">
            <v>399.04</v>
          </cell>
        </row>
        <row r="155">
          <cell r="F155">
            <v>534.48</v>
          </cell>
        </row>
        <row r="156">
          <cell r="F156">
            <v>408.21</v>
          </cell>
        </row>
        <row r="157">
          <cell r="F157">
            <v>424.4</v>
          </cell>
        </row>
        <row r="158">
          <cell r="F158">
            <v>269.83</v>
          </cell>
        </row>
        <row r="159">
          <cell r="F159">
            <v>564.58000000000004</v>
          </cell>
        </row>
        <row r="160">
          <cell r="F160">
            <v>331.06</v>
          </cell>
        </row>
        <row r="161">
          <cell r="F161">
            <v>299.35000000000002</v>
          </cell>
        </row>
        <row r="162">
          <cell r="F162">
            <v>101.32</v>
          </cell>
        </row>
        <row r="163">
          <cell r="F163">
            <v>211.14</v>
          </cell>
        </row>
        <row r="164">
          <cell r="F164">
            <v>65.86</v>
          </cell>
        </row>
        <row r="165">
          <cell r="F165">
            <v>641.39</v>
          </cell>
        </row>
        <row r="166">
          <cell r="F166">
            <v>536.58000000000004</v>
          </cell>
        </row>
        <row r="167">
          <cell r="F167">
            <v>500.29</v>
          </cell>
        </row>
        <row r="168">
          <cell r="F168">
            <v>86.29</v>
          </cell>
        </row>
        <row r="169">
          <cell r="F169">
            <v>384.14</v>
          </cell>
        </row>
        <row r="170">
          <cell r="F170">
            <v>594.96</v>
          </cell>
        </row>
        <row r="171">
          <cell r="F171">
            <v>427.82</v>
          </cell>
        </row>
        <row r="172">
          <cell r="F172">
            <v>662.94</v>
          </cell>
        </row>
        <row r="173">
          <cell r="F173">
            <v>148.22</v>
          </cell>
        </row>
        <row r="174">
          <cell r="F174">
            <v>254.12</v>
          </cell>
        </row>
        <row r="175">
          <cell r="F175">
            <v>664.46</v>
          </cell>
        </row>
        <row r="176">
          <cell r="F176">
            <v>600.80999999999995</v>
          </cell>
        </row>
        <row r="177">
          <cell r="F177">
            <v>68.34</v>
          </cell>
        </row>
        <row r="178">
          <cell r="F178">
            <v>430.83</v>
          </cell>
        </row>
        <row r="179">
          <cell r="F179">
            <v>431.69</v>
          </cell>
        </row>
        <row r="180">
          <cell r="F180">
            <v>512.05999999999995</v>
          </cell>
        </row>
        <row r="181">
          <cell r="F181">
            <v>539.91</v>
          </cell>
        </row>
        <row r="182">
          <cell r="F182">
            <v>316.07</v>
          </cell>
        </row>
        <row r="183">
          <cell r="F183">
            <v>404.39</v>
          </cell>
        </row>
        <row r="184">
          <cell r="F184">
            <v>600.54</v>
          </cell>
        </row>
        <row r="185">
          <cell r="F185">
            <v>186.28</v>
          </cell>
        </row>
        <row r="186">
          <cell r="F186">
            <v>214.54</v>
          </cell>
        </row>
        <row r="187">
          <cell r="F187">
            <v>210.7</v>
          </cell>
        </row>
        <row r="188">
          <cell r="F188">
            <v>133.55000000000001</v>
          </cell>
        </row>
        <row r="189">
          <cell r="F189">
            <v>590.87</v>
          </cell>
        </row>
        <row r="190">
          <cell r="F190">
            <v>363.91</v>
          </cell>
        </row>
        <row r="191">
          <cell r="F191">
            <v>429.45</v>
          </cell>
        </row>
        <row r="192">
          <cell r="F192">
            <v>223.7</v>
          </cell>
        </row>
        <row r="193">
          <cell r="F193">
            <v>488.87</v>
          </cell>
        </row>
        <row r="194">
          <cell r="F194">
            <v>645.46</v>
          </cell>
        </row>
        <row r="195">
          <cell r="F195">
            <v>46.66</v>
          </cell>
        </row>
        <row r="196">
          <cell r="F196">
            <v>249.57</v>
          </cell>
        </row>
        <row r="197">
          <cell r="F197">
            <v>619.21</v>
          </cell>
        </row>
        <row r="198">
          <cell r="F198">
            <v>217.13</v>
          </cell>
        </row>
        <row r="199">
          <cell r="F199">
            <v>221.51</v>
          </cell>
        </row>
        <row r="200">
          <cell r="F200">
            <v>340.3</v>
          </cell>
        </row>
        <row r="201">
          <cell r="F201">
            <v>625</v>
          </cell>
        </row>
        <row r="202">
          <cell r="F202">
            <v>433.26</v>
          </cell>
        </row>
        <row r="203">
          <cell r="F203">
            <v>674.9</v>
          </cell>
        </row>
        <row r="204">
          <cell r="F204">
            <v>253.98</v>
          </cell>
        </row>
        <row r="205">
          <cell r="F205">
            <v>356.84</v>
          </cell>
        </row>
        <row r="206">
          <cell r="F206">
            <v>413.71</v>
          </cell>
        </row>
        <row r="207">
          <cell r="F207">
            <v>147.38999999999999</v>
          </cell>
        </row>
        <row r="208">
          <cell r="F208">
            <v>229.1</v>
          </cell>
        </row>
        <row r="209">
          <cell r="F209">
            <v>121.96</v>
          </cell>
        </row>
        <row r="210">
          <cell r="F210">
            <v>408.32</v>
          </cell>
        </row>
        <row r="211">
          <cell r="F211">
            <v>187.97</v>
          </cell>
        </row>
        <row r="212">
          <cell r="F212">
            <v>358.48</v>
          </cell>
        </row>
        <row r="213">
          <cell r="F213">
            <v>193.58</v>
          </cell>
        </row>
        <row r="214">
          <cell r="F214">
            <v>265.38</v>
          </cell>
        </row>
        <row r="215">
          <cell r="F215">
            <v>634.4</v>
          </cell>
        </row>
        <row r="216">
          <cell r="F216">
            <v>305.72000000000003</v>
          </cell>
        </row>
        <row r="217">
          <cell r="F217">
            <v>303.60000000000002</v>
          </cell>
        </row>
        <row r="218">
          <cell r="F218">
            <v>496</v>
          </cell>
        </row>
        <row r="219">
          <cell r="F219">
            <v>321.51</v>
          </cell>
        </row>
        <row r="220">
          <cell r="F220">
            <v>112.46</v>
          </cell>
        </row>
        <row r="221">
          <cell r="F221">
            <v>61.97</v>
          </cell>
        </row>
        <row r="222">
          <cell r="F222">
            <v>373.17</v>
          </cell>
        </row>
        <row r="223">
          <cell r="F223">
            <v>639.37</v>
          </cell>
        </row>
        <row r="224">
          <cell r="F224">
            <v>693.36</v>
          </cell>
        </row>
        <row r="225">
          <cell r="F225">
            <v>692.91</v>
          </cell>
        </row>
        <row r="226">
          <cell r="F226">
            <v>91.46</v>
          </cell>
        </row>
        <row r="227">
          <cell r="F227">
            <v>273.95999999999998</v>
          </cell>
        </row>
        <row r="228">
          <cell r="F228">
            <v>588.04999999999995</v>
          </cell>
        </row>
        <row r="229">
          <cell r="F229">
            <v>365.17</v>
          </cell>
        </row>
        <row r="230">
          <cell r="F230">
            <v>385.92</v>
          </cell>
        </row>
        <row r="231">
          <cell r="F231">
            <v>562.61</v>
          </cell>
        </row>
        <row r="232">
          <cell r="F232">
            <v>61.91</v>
          </cell>
        </row>
        <row r="233">
          <cell r="F233">
            <v>41.9</v>
          </cell>
        </row>
        <row r="234">
          <cell r="F234">
            <v>444.44</v>
          </cell>
        </row>
        <row r="235">
          <cell r="F235">
            <v>311.33</v>
          </cell>
        </row>
        <row r="236">
          <cell r="F236">
            <v>236.41</v>
          </cell>
        </row>
        <row r="237">
          <cell r="F237">
            <v>65.45</v>
          </cell>
        </row>
        <row r="238">
          <cell r="F238">
            <v>318.81</v>
          </cell>
        </row>
        <row r="239">
          <cell r="F239">
            <v>583.72</v>
          </cell>
        </row>
        <row r="240">
          <cell r="F240">
            <v>384.32</v>
          </cell>
        </row>
        <row r="241">
          <cell r="F241">
            <v>538.74</v>
          </cell>
        </row>
        <row r="242">
          <cell r="F242">
            <v>17.239999999999998</v>
          </cell>
        </row>
        <row r="243">
          <cell r="F243">
            <v>615.66999999999996</v>
          </cell>
        </row>
        <row r="244">
          <cell r="F244">
            <v>219.1</v>
          </cell>
        </row>
        <row r="245">
          <cell r="F245">
            <v>144.66</v>
          </cell>
        </row>
        <row r="246">
          <cell r="F246">
            <v>317.77</v>
          </cell>
        </row>
        <row r="247">
          <cell r="F247">
            <v>223.3</v>
          </cell>
        </row>
        <row r="248">
          <cell r="F248">
            <v>342.11</v>
          </cell>
        </row>
        <row r="249">
          <cell r="F249">
            <v>220.9</v>
          </cell>
        </row>
        <row r="250">
          <cell r="F250">
            <v>670.54</v>
          </cell>
        </row>
        <row r="251">
          <cell r="F251">
            <v>546.19000000000005</v>
          </cell>
        </row>
        <row r="252">
          <cell r="F252">
            <v>42.95</v>
          </cell>
        </row>
        <row r="253">
          <cell r="F253">
            <v>14.69</v>
          </cell>
        </row>
        <row r="254">
          <cell r="F254">
            <v>668.36</v>
          </cell>
        </row>
        <row r="255">
          <cell r="F255">
            <v>413.74</v>
          </cell>
        </row>
        <row r="256">
          <cell r="F256">
            <v>263.19</v>
          </cell>
        </row>
        <row r="257">
          <cell r="F257">
            <v>263.95999999999998</v>
          </cell>
        </row>
        <row r="258">
          <cell r="F258">
            <v>75.81</v>
          </cell>
        </row>
        <row r="259">
          <cell r="F259">
            <v>406.22</v>
          </cell>
        </row>
        <row r="260">
          <cell r="F260">
            <v>103.41</v>
          </cell>
        </row>
        <row r="261">
          <cell r="F261">
            <v>435.12</v>
          </cell>
        </row>
        <row r="262">
          <cell r="F262">
            <v>407.79</v>
          </cell>
        </row>
        <row r="263">
          <cell r="F263">
            <v>173.65</v>
          </cell>
        </row>
        <row r="264">
          <cell r="F264">
            <v>249.07</v>
          </cell>
        </row>
        <row r="265">
          <cell r="F265">
            <v>434.85</v>
          </cell>
        </row>
        <row r="266">
          <cell r="F266">
            <v>436.77</v>
          </cell>
        </row>
        <row r="267">
          <cell r="F267">
            <v>572.13</v>
          </cell>
        </row>
        <row r="268">
          <cell r="F268">
            <v>583.07000000000005</v>
          </cell>
        </row>
        <row r="269">
          <cell r="F269">
            <v>468.51</v>
          </cell>
        </row>
        <row r="270">
          <cell r="F270">
            <v>423.88</v>
          </cell>
        </row>
        <row r="271">
          <cell r="F271">
            <v>663.67</v>
          </cell>
        </row>
        <row r="272">
          <cell r="F272">
            <v>309.91000000000003</v>
          </cell>
        </row>
        <row r="273">
          <cell r="F273">
            <v>542.07000000000005</v>
          </cell>
        </row>
        <row r="274">
          <cell r="F274">
            <v>399.32</v>
          </cell>
        </row>
        <row r="275">
          <cell r="F275">
            <v>238.25</v>
          </cell>
        </row>
        <row r="276">
          <cell r="F276">
            <v>182.4</v>
          </cell>
        </row>
        <row r="277">
          <cell r="F277">
            <v>65.069999999999993</v>
          </cell>
        </row>
        <row r="278">
          <cell r="F278">
            <v>600.57000000000005</v>
          </cell>
        </row>
        <row r="279">
          <cell r="F279">
            <v>90.92</v>
          </cell>
        </row>
        <row r="280">
          <cell r="F280">
            <v>362.46</v>
          </cell>
        </row>
        <row r="281">
          <cell r="F281">
            <v>55.01</v>
          </cell>
        </row>
        <row r="282">
          <cell r="F282">
            <v>404.62</v>
          </cell>
        </row>
        <row r="283">
          <cell r="F283">
            <v>654.79</v>
          </cell>
        </row>
        <row r="284">
          <cell r="F284">
            <v>637.79</v>
          </cell>
        </row>
        <row r="285">
          <cell r="F285">
            <v>540.33000000000004</v>
          </cell>
        </row>
        <row r="286">
          <cell r="F286">
            <v>208.17</v>
          </cell>
        </row>
        <row r="287">
          <cell r="F287">
            <v>338.31</v>
          </cell>
        </row>
        <row r="288">
          <cell r="F288">
            <v>139.44999999999999</v>
          </cell>
        </row>
        <row r="289">
          <cell r="F289">
            <v>655.17999999999995</v>
          </cell>
        </row>
        <row r="290">
          <cell r="F290">
            <v>512.75</v>
          </cell>
        </row>
        <row r="291">
          <cell r="F291">
            <v>160.49</v>
          </cell>
        </row>
        <row r="292">
          <cell r="F292">
            <v>99.9</v>
          </cell>
        </row>
        <row r="293">
          <cell r="F293">
            <v>345.01</v>
          </cell>
        </row>
        <row r="294">
          <cell r="F294">
            <v>65.95</v>
          </cell>
        </row>
        <row r="295">
          <cell r="F295">
            <v>463.04</v>
          </cell>
        </row>
        <row r="296">
          <cell r="F296">
            <v>297.70999999999998</v>
          </cell>
        </row>
        <row r="297">
          <cell r="F297">
            <v>107.48</v>
          </cell>
        </row>
        <row r="298">
          <cell r="F298">
            <v>638.79999999999995</v>
          </cell>
        </row>
        <row r="299">
          <cell r="F299">
            <v>493.88</v>
          </cell>
        </row>
        <row r="300">
          <cell r="F300">
            <v>301.17</v>
          </cell>
        </row>
        <row r="301">
          <cell r="F301">
            <v>278.66000000000003</v>
          </cell>
        </row>
        <row r="302">
          <cell r="F302">
            <v>287.45999999999998</v>
          </cell>
        </row>
        <row r="303">
          <cell r="F303">
            <v>583.99</v>
          </cell>
        </row>
        <row r="304">
          <cell r="F304">
            <v>468.74</v>
          </cell>
        </row>
        <row r="305">
          <cell r="F305">
            <v>30.54</v>
          </cell>
        </row>
        <row r="306">
          <cell r="F306">
            <v>408.73</v>
          </cell>
        </row>
        <row r="307">
          <cell r="F307">
            <v>126.89</v>
          </cell>
        </row>
        <row r="308">
          <cell r="F308">
            <v>57.07</v>
          </cell>
        </row>
        <row r="309">
          <cell r="F309">
            <v>557.41</v>
          </cell>
        </row>
        <row r="310">
          <cell r="F310">
            <v>448.9</v>
          </cell>
        </row>
        <row r="311">
          <cell r="F311">
            <v>549.76</v>
          </cell>
        </row>
        <row r="312">
          <cell r="F312">
            <v>132.47999999999999</v>
          </cell>
        </row>
        <row r="313">
          <cell r="F313">
            <v>489.37</v>
          </cell>
        </row>
        <row r="314">
          <cell r="F314">
            <v>66.31</v>
          </cell>
        </row>
        <row r="315">
          <cell r="F315">
            <v>434.3</v>
          </cell>
        </row>
        <row r="316">
          <cell r="F316">
            <v>153.09</v>
          </cell>
        </row>
        <row r="317">
          <cell r="F317">
            <v>91.67</v>
          </cell>
        </row>
        <row r="318">
          <cell r="F318">
            <v>275.27999999999997</v>
          </cell>
        </row>
        <row r="319">
          <cell r="F319">
            <v>139.94999999999999</v>
          </cell>
        </row>
        <row r="320">
          <cell r="F320">
            <v>148.72</v>
          </cell>
        </row>
        <row r="321">
          <cell r="F321">
            <v>563.05999999999995</v>
          </cell>
        </row>
        <row r="322">
          <cell r="F322">
            <v>625.51</v>
          </cell>
        </row>
        <row r="323">
          <cell r="F323">
            <v>152.29</v>
          </cell>
        </row>
        <row r="324">
          <cell r="F324">
            <v>231.82</v>
          </cell>
        </row>
        <row r="325">
          <cell r="F325">
            <v>150.16999999999999</v>
          </cell>
        </row>
        <row r="326">
          <cell r="F326">
            <v>70.930000000000007</v>
          </cell>
        </row>
        <row r="327">
          <cell r="F327">
            <v>361.39</v>
          </cell>
        </row>
        <row r="328">
          <cell r="F328">
            <v>670.48</v>
          </cell>
        </row>
        <row r="329">
          <cell r="F329">
            <v>359.99</v>
          </cell>
        </row>
        <row r="330">
          <cell r="F330">
            <v>674.04</v>
          </cell>
        </row>
        <row r="331">
          <cell r="F331">
            <v>283.16000000000003</v>
          </cell>
        </row>
        <row r="332">
          <cell r="F332">
            <v>260.52999999999997</v>
          </cell>
        </row>
        <row r="333">
          <cell r="F333">
            <v>422.13</v>
          </cell>
        </row>
        <row r="334">
          <cell r="F334">
            <v>125.02</v>
          </cell>
        </row>
        <row r="335">
          <cell r="F335">
            <v>198.51</v>
          </cell>
        </row>
        <row r="336">
          <cell r="F336">
            <v>224.75</v>
          </cell>
        </row>
        <row r="337">
          <cell r="F337">
            <v>205.86</v>
          </cell>
        </row>
        <row r="338">
          <cell r="F338">
            <v>18.2</v>
          </cell>
        </row>
        <row r="339">
          <cell r="F339">
            <v>502.77</v>
          </cell>
        </row>
        <row r="340">
          <cell r="F340">
            <v>305.49</v>
          </cell>
        </row>
        <row r="341">
          <cell r="F341">
            <v>236.33</v>
          </cell>
        </row>
        <row r="342">
          <cell r="F342">
            <v>521.25</v>
          </cell>
        </row>
        <row r="343">
          <cell r="F343">
            <v>167.15</v>
          </cell>
        </row>
        <row r="344">
          <cell r="F344">
            <v>466.42</v>
          </cell>
        </row>
        <row r="345">
          <cell r="F345">
            <v>527.57000000000005</v>
          </cell>
        </row>
        <row r="346">
          <cell r="F346">
            <v>623.34</v>
          </cell>
        </row>
        <row r="347">
          <cell r="F347">
            <v>501.26</v>
          </cell>
        </row>
        <row r="348">
          <cell r="F348">
            <v>655.09</v>
          </cell>
        </row>
        <row r="349">
          <cell r="F349">
            <v>264.79000000000002</v>
          </cell>
        </row>
        <row r="350">
          <cell r="F350">
            <v>359.73</v>
          </cell>
        </row>
        <row r="351">
          <cell r="F351">
            <v>465.33</v>
          </cell>
        </row>
        <row r="352">
          <cell r="F352">
            <v>54.41</v>
          </cell>
        </row>
        <row r="353">
          <cell r="F353">
            <v>64.66</v>
          </cell>
        </row>
        <row r="354">
          <cell r="F354">
            <v>173.96</v>
          </cell>
        </row>
        <row r="355">
          <cell r="F355">
            <v>630.82000000000005</v>
          </cell>
        </row>
        <row r="356">
          <cell r="F356">
            <v>693.41</v>
          </cell>
        </row>
        <row r="357">
          <cell r="F357">
            <v>433.33</v>
          </cell>
        </row>
        <row r="358">
          <cell r="F358">
            <v>374.58</v>
          </cell>
        </row>
        <row r="359">
          <cell r="F359">
            <v>408.56</v>
          </cell>
        </row>
        <row r="360">
          <cell r="F360">
            <v>183.67</v>
          </cell>
        </row>
        <row r="361">
          <cell r="F361">
            <v>606.57000000000005</v>
          </cell>
        </row>
        <row r="362">
          <cell r="F362">
            <v>589.57000000000005</v>
          </cell>
        </row>
        <row r="363">
          <cell r="F363">
            <v>659.85</v>
          </cell>
        </row>
        <row r="364">
          <cell r="F364">
            <v>206.84</v>
          </cell>
        </row>
        <row r="365">
          <cell r="F365">
            <v>113.87</v>
          </cell>
        </row>
        <row r="366">
          <cell r="F366">
            <v>628.74</v>
          </cell>
        </row>
        <row r="367">
          <cell r="F367">
            <v>678.38</v>
          </cell>
        </row>
        <row r="368">
          <cell r="F368">
            <v>602.24</v>
          </cell>
        </row>
        <row r="369">
          <cell r="F369">
            <v>658.77</v>
          </cell>
        </row>
        <row r="370">
          <cell r="F370">
            <v>271.02</v>
          </cell>
        </row>
        <row r="371">
          <cell r="F371">
            <v>375.25</v>
          </cell>
        </row>
        <row r="372">
          <cell r="F372">
            <v>312.11</v>
          </cell>
        </row>
        <row r="373">
          <cell r="F373">
            <v>307.76</v>
          </cell>
        </row>
        <row r="374">
          <cell r="F374">
            <v>483.53</v>
          </cell>
        </row>
        <row r="375">
          <cell r="F375">
            <v>341.15</v>
          </cell>
        </row>
        <row r="376">
          <cell r="F376">
            <v>571.9</v>
          </cell>
        </row>
        <row r="377">
          <cell r="F377">
            <v>95.03</v>
          </cell>
        </row>
        <row r="378">
          <cell r="F378">
            <v>201.22</v>
          </cell>
        </row>
        <row r="379">
          <cell r="F379">
            <v>260.26</v>
          </cell>
        </row>
        <row r="380">
          <cell r="F380">
            <v>64.5</v>
          </cell>
        </row>
        <row r="381">
          <cell r="F381">
            <v>297.67</v>
          </cell>
        </row>
        <row r="382">
          <cell r="F382">
            <v>331.9</v>
          </cell>
        </row>
        <row r="383">
          <cell r="F383">
            <v>191.76</v>
          </cell>
        </row>
        <row r="384">
          <cell r="F384">
            <v>263.08999999999997</v>
          </cell>
        </row>
        <row r="385">
          <cell r="F385">
            <v>393.8</v>
          </cell>
        </row>
        <row r="386">
          <cell r="F386">
            <v>553.57000000000005</v>
          </cell>
        </row>
        <row r="387">
          <cell r="F387">
            <v>191.63</v>
          </cell>
        </row>
        <row r="388">
          <cell r="F388">
            <v>93.02</v>
          </cell>
        </row>
        <row r="389">
          <cell r="F389">
            <v>39.53</v>
          </cell>
        </row>
        <row r="390">
          <cell r="F390">
            <v>633.97</v>
          </cell>
        </row>
        <row r="391">
          <cell r="F391">
            <v>697.5</v>
          </cell>
        </row>
        <row r="392">
          <cell r="F392">
            <v>508.69</v>
          </cell>
        </row>
        <row r="393">
          <cell r="F393">
            <v>527.46</v>
          </cell>
        </row>
        <row r="394">
          <cell r="F394">
            <v>627.20000000000005</v>
          </cell>
        </row>
        <row r="395">
          <cell r="F395">
            <v>75.010000000000005</v>
          </cell>
        </row>
        <row r="396">
          <cell r="F396">
            <v>529.54999999999995</v>
          </cell>
        </row>
        <row r="397">
          <cell r="F397">
            <v>127.41</v>
          </cell>
        </row>
        <row r="398">
          <cell r="F398">
            <v>287.13</v>
          </cell>
        </row>
        <row r="399">
          <cell r="F399">
            <v>427.06</v>
          </cell>
        </row>
        <row r="400">
          <cell r="F400">
            <v>53.93</v>
          </cell>
        </row>
        <row r="401">
          <cell r="F401">
            <v>423.93</v>
          </cell>
        </row>
        <row r="402">
          <cell r="F402">
            <v>160.22</v>
          </cell>
        </row>
        <row r="403">
          <cell r="F403">
            <v>538.67999999999995</v>
          </cell>
        </row>
        <row r="404">
          <cell r="F404">
            <v>337.38</v>
          </cell>
        </row>
        <row r="405">
          <cell r="F405">
            <v>620.21</v>
          </cell>
        </row>
        <row r="406">
          <cell r="F406">
            <v>99.1</v>
          </cell>
        </row>
        <row r="407">
          <cell r="F407">
            <v>451.97</v>
          </cell>
        </row>
        <row r="408">
          <cell r="F408">
            <v>66.099999999999994</v>
          </cell>
        </row>
        <row r="409">
          <cell r="F409">
            <v>547.32000000000005</v>
          </cell>
        </row>
        <row r="410">
          <cell r="F410">
            <v>412.53</v>
          </cell>
        </row>
        <row r="411">
          <cell r="F411">
            <v>84.13</v>
          </cell>
        </row>
        <row r="412">
          <cell r="F412">
            <v>518.23</v>
          </cell>
        </row>
        <row r="413">
          <cell r="F413">
            <v>39.51</v>
          </cell>
        </row>
        <row r="414">
          <cell r="F414">
            <v>133.01</v>
          </cell>
        </row>
        <row r="415">
          <cell r="F415">
            <v>118.8</v>
          </cell>
        </row>
        <row r="416">
          <cell r="F416">
            <v>139.57</v>
          </cell>
        </row>
        <row r="417">
          <cell r="F417">
            <v>184.15</v>
          </cell>
        </row>
        <row r="418">
          <cell r="F418">
            <v>644.04999999999995</v>
          </cell>
        </row>
        <row r="419">
          <cell r="F419">
            <v>55.41</v>
          </cell>
        </row>
        <row r="420">
          <cell r="F420">
            <v>310.93</v>
          </cell>
        </row>
        <row r="421">
          <cell r="F421">
            <v>216.66</v>
          </cell>
        </row>
        <row r="422">
          <cell r="F422">
            <v>452.7</v>
          </cell>
        </row>
        <row r="423">
          <cell r="F423">
            <v>288.20999999999998</v>
          </cell>
        </row>
        <row r="424">
          <cell r="F424">
            <v>206.6</v>
          </cell>
        </row>
        <row r="425">
          <cell r="F425">
            <v>685.2</v>
          </cell>
        </row>
        <row r="426">
          <cell r="F426">
            <v>22.94</v>
          </cell>
        </row>
        <row r="427">
          <cell r="F427">
            <v>301.88</v>
          </cell>
        </row>
        <row r="428">
          <cell r="F428">
            <v>57.45</v>
          </cell>
        </row>
        <row r="429">
          <cell r="F429">
            <v>161.24</v>
          </cell>
        </row>
        <row r="430">
          <cell r="F430">
            <v>262.58</v>
          </cell>
        </row>
        <row r="431">
          <cell r="F431">
            <v>515.19000000000005</v>
          </cell>
        </row>
        <row r="432">
          <cell r="F432">
            <v>450.07</v>
          </cell>
        </row>
        <row r="433">
          <cell r="F433">
            <v>52.54</v>
          </cell>
        </row>
        <row r="434">
          <cell r="F434">
            <v>424.32</v>
          </cell>
        </row>
        <row r="435">
          <cell r="F435">
            <v>631.64</v>
          </cell>
        </row>
        <row r="436">
          <cell r="F436">
            <v>327.68</v>
          </cell>
        </row>
        <row r="437">
          <cell r="F437">
            <v>414.47</v>
          </cell>
        </row>
        <row r="438">
          <cell r="F438">
            <v>221.33</v>
          </cell>
        </row>
        <row r="439">
          <cell r="F439">
            <v>512.39</v>
          </cell>
        </row>
        <row r="440">
          <cell r="F440">
            <v>459.34</v>
          </cell>
        </row>
        <row r="441">
          <cell r="F441">
            <v>146.32</v>
          </cell>
        </row>
        <row r="442">
          <cell r="F442">
            <v>83.6</v>
          </cell>
        </row>
        <row r="443">
          <cell r="F443">
            <v>328.54</v>
          </cell>
        </row>
        <row r="444">
          <cell r="F444">
            <v>314.94</v>
          </cell>
        </row>
        <row r="445">
          <cell r="F445">
            <v>69.64</v>
          </cell>
        </row>
        <row r="446">
          <cell r="F446">
            <v>135.16999999999999</v>
          </cell>
        </row>
        <row r="447">
          <cell r="F447">
            <v>487.21</v>
          </cell>
        </row>
        <row r="448">
          <cell r="F448">
            <v>509.58</v>
          </cell>
        </row>
        <row r="449">
          <cell r="F449">
            <v>416.81</v>
          </cell>
        </row>
        <row r="450">
          <cell r="F450">
            <v>160</v>
          </cell>
        </row>
        <row r="451">
          <cell r="F451">
            <v>253.05</v>
          </cell>
        </row>
        <row r="452">
          <cell r="F452">
            <v>615.1</v>
          </cell>
        </row>
        <row r="453">
          <cell r="F453">
            <v>183.18</v>
          </cell>
        </row>
        <row r="454">
          <cell r="F454">
            <v>75.78</v>
          </cell>
        </row>
        <row r="455">
          <cell r="F455">
            <v>675.57</v>
          </cell>
        </row>
        <row r="456">
          <cell r="F456">
            <v>109.29</v>
          </cell>
        </row>
        <row r="457">
          <cell r="F457">
            <v>639.83000000000004</v>
          </cell>
        </row>
        <row r="458">
          <cell r="F458">
            <v>62.81</v>
          </cell>
        </row>
        <row r="459">
          <cell r="F459">
            <v>615.83000000000004</v>
          </cell>
        </row>
        <row r="460">
          <cell r="F460">
            <v>510.58</v>
          </cell>
        </row>
        <row r="461">
          <cell r="F461">
            <v>334.39</v>
          </cell>
        </row>
        <row r="462">
          <cell r="F462">
            <v>144.25</v>
          </cell>
        </row>
        <row r="463">
          <cell r="F463">
            <v>401.82</v>
          </cell>
        </row>
        <row r="464">
          <cell r="F464">
            <v>252.68</v>
          </cell>
        </row>
        <row r="465">
          <cell r="F465">
            <v>662.78</v>
          </cell>
        </row>
        <row r="466">
          <cell r="F466">
            <v>434.42</v>
          </cell>
        </row>
        <row r="467">
          <cell r="F467">
            <v>513.49</v>
          </cell>
        </row>
        <row r="468">
          <cell r="F468">
            <v>432.47</v>
          </cell>
        </row>
        <row r="469">
          <cell r="F469">
            <v>45.94</v>
          </cell>
        </row>
        <row r="470">
          <cell r="F470">
            <v>418.36</v>
          </cell>
        </row>
        <row r="471">
          <cell r="F471">
            <v>676.98</v>
          </cell>
        </row>
        <row r="472">
          <cell r="F472">
            <v>263.62</v>
          </cell>
        </row>
        <row r="473">
          <cell r="F473">
            <v>551.27</v>
          </cell>
        </row>
        <row r="474">
          <cell r="F474">
            <v>508.12</v>
          </cell>
        </row>
        <row r="475">
          <cell r="F475">
            <v>14.93</v>
          </cell>
        </row>
        <row r="476">
          <cell r="F476">
            <v>229.34</v>
          </cell>
        </row>
        <row r="477">
          <cell r="F477">
            <v>438.62</v>
          </cell>
        </row>
        <row r="478">
          <cell r="F478">
            <v>513.59</v>
          </cell>
        </row>
        <row r="479">
          <cell r="F479">
            <v>253.74</v>
          </cell>
        </row>
        <row r="480">
          <cell r="F480">
            <v>62.77</v>
          </cell>
        </row>
        <row r="481">
          <cell r="F481">
            <v>25.29</v>
          </cell>
        </row>
        <row r="482">
          <cell r="F482">
            <v>335.1</v>
          </cell>
        </row>
        <row r="483">
          <cell r="F483">
            <v>484.85</v>
          </cell>
        </row>
        <row r="484">
          <cell r="F484">
            <v>381.41</v>
          </cell>
        </row>
        <row r="485">
          <cell r="F485">
            <v>347.92</v>
          </cell>
        </row>
        <row r="486">
          <cell r="F486">
            <v>15.01</v>
          </cell>
        </row>
        <row r="487">
          <cell r="F487">
            <v>404.79</v>
          </cell>
        </row>
        <row r="488">
          <cell r="F488">
            <v>611.26</v>
          </cell>
        </row>
        <row r="489">
          <cell r="F489">
            <v>346.52</v>
          </cell>
        </row>
        <row r="490">
          <cell r="F490">
            <v>36.65</v>
          </cell>
        </row>
        <row r="491">
          <cell r="F491">
            <v>149.34</v>
          </cell>
        </row>
        <row r="492">
          <cell r="F492">
            <v>467.81</v>
          </cell>
        </row>
        <row r="493">
          <cell r="F493">
            <v>420.7</v>
          </cell>
        </row>
        <row r="494">
          <cell r="F494">
            <v>606.52</v>
          </cell>
        </row>
        <row r="495">
          <cell r="F495">
            <v>420.26</v>
          </cell>
        </row>
        <row r="496">
          <cell r="F496">
            <v>505.79</v>
          </cell>
        </row>
        <row r="497">
          <cell r="F497">
            <v>493.73</v>
          </cell>
        </row>
        <row r="498">
          <cell r="F498">
            <v>201.21</v>
          </cell>
        </row>
        <row r="499">
          <cell r="F499">
            <v>112.29</v>
          </cell>
        </row>
        <row r="500">
          <cell r="F500">
            <v>132.56</v>
          </cell>
        </row>
        <row r="501">
          <cell r="F501">
            <v>539.46</v>
          </cell>
        </row>
        <row r="502">
          <cell r="F502">
            <v>508.59</v>
          </cell>
        </row>
        <row r="503">
          <cell r="F503">
            <v>203.46</v>
          </cell>
        </row>
        <row r="504">
          <cell r="F504">
            <v>565.25</v>
          </cell>
        </row>
        <row r="505">
          <cell r="F505">
            <v>136.84</v>
          </cell>
        </row>
        <row r="506">
          <cell r="F506">
            <v>464.5</v>
          </cell>
        </row>
        <row r="507">
          <cell r="F507">
            <v>434.97</v>
          </cell>
        </row>
        <row r="508">
          <cell r="F508">
            <v>43.67</v>
          </cell>
        </row>
        <row r="509">
          <cell r="F509">
            <v>171.59</v>
          </cell>
        </row>
        <row r="510">
          <cell r="F510">
            <v>558.27</v>
          </cell>
        </row>
        <row r="511">
          <cell r="F511">
            <v>425.03</v>
          </cell>
        </row>
        <row r="512">
          <cell r="F512">
            <v>376.76</v>
          </cell>
        </row>
        <row r="513">
          <cell r="F513">
            <v>575.24</v>
          </cell>
        </row>
        <row r="514">
          <cell r="F514">
            <v>568.02</v>
          </cell>
        </row>
        <row r="515">
          <cell r="F515">
            <v>94.88</v>
          </cell>
        </row>
        <row r="516">
          <cell r="F516">
            <v>304.14999999999998</v>
          </cell>
        </row>
        <row r="517">
          <cell r="F517">
            <v>553.52</v>
          </cell>
        </row>
        <row r="518">
          <cell r="F518">
            <v>166.99</v>
          </cell>
        </row>
        <row r="519">
          <cell r="F519">
            <v>198.35</v>
          </cell>
        </row>
        <row r="520">
          <cell r="F520">
            <v>403.58</v>
          </cell>
        </row>
        <row r="521">
          <cell r="F521">
            <v>464.29</v>
          </cell>
        </row>
        <row r="522">
          <cell r="F522">
            <v>635.98</v>
          </cell>
        </row>
        <row r="523">
          <cell r="F523">
            <v>528.05999999999995</v>
          </cell>
        </row>
        <row r="524">
          <cell r="F524">
            <v>515.32000000000005</v>
          </cell>
        </row>
        <row r="525">
          <cell r="F525">
            <v>657.79</v>
          </cell>
        </row>
        <row r="526">
          <cell r="F526">
            <v>153</v>
          </cell>
        </row>
        <row r="527">
          <cell r="F527">
            <v>668.48</v>
          </cell>
        </row>
        <row r="528">
          <cell r="F528">
            <v>46.5</v>
          </cell>
        </row>
        <row r="529">
          <cell r="F529">
            <v>653.47</v>
          </cell>
        </row>
        <row r="530">
          <cell r="F530">
            <v>628.89</v>
          </cell>
        </row>
        <row r="531">
          <cell r="F531">
            <v>675.1</v>
          </cell>
        </row>
        <row r="532">
          <cell r="F532">
            <v>89.41</v>
          </cell>
        </row>
        <row r="533">
          <cell r="F533">
            <v>320.01</v>
          </cell>
        </row>
        <row r="534">
          <cell r="F534">
            <v>41</v>
          </cell>
        </row>
        <row r="535">
          <cell r="F535">
            <v>565.85</v>
          </cell>
        </row>
        <row r="536">
          <cell r="F536">
            <v>648.59</v>
          </cell>
        </row>
        <row r="537">
          <cell r="F537">
            <v>68.12</v>
          </cell>
        </row>
        <row r="538">
          <cell r="F538">
            <v>616.1</v>
          </cell>
        </row>
        <row r="539">
          <cell r="F539">
            <v>247.47</v>
          </cell>
        </row>
        <row r="540">
          <cell r="F540">
            <v>490.74</v>
          </cell>
        </row>
        <row r="541">
          <cell r="F541">
            <v>531.72</v>
          </cell>
        </row>
        <row r="542">
          <cell r="F542">
            <v>648.65</v>
          </cell>
        </row>
        <row r="543">
          <cell r="F543">
            <v>456.06</v>
          </cell>
        </row>
        <row r="544">
          <cell r="F544">
            <v>17.98</v>
          </cell>
        </row>
        <row r="545">
          <cell r="F545">
            <v>269.86</v>
          </cell>
        </row>
        <row r="546">
          <cell r="F546">
            <v>31.96</v>
          </cell>
        </row>
        <row r="547">
          <cell r="F547">
            <v>98.47</v>
          </cell>
        </row>
        <row r="548">
          <cell r="F548">
            <v>158.68</v>
          </cell>
        </row>
        <row r="549">
          <cell r="F549">
            <v>613.98</v>
          </cell>
        </row>
        <row r="550">
          <cell r="F550">
            <v>426.12</v>
          </cell>
        </row>
        <row r="551">
          <cell r="F551">
            <v>629.88</v>
          </cell>
        </row>
        <row r="552">
          <cell r="F552">
            <v>228.91</v>
          </cell>
        </row>
        <row r="553">
          <cell r="F553">
            <v>120.98</v>
          </cell>
        </row>
        <row r="554">
          <cell r="F554">
            <v>425.18</v>
          </cell>
        </row>
        <row r="555">
          <cell r="F555">
            <v>333.83</v>
          </cell>
        </row>
        <row r="556">
          <cell r="F556">
            <v>492.9</v>
          </cell>
        </row>
        <row r="557">
          <cell r="F557">
            <v>92.04</v>
          </cell>
        </row>
        <row r="558">
          <cell r="F558">
            <v>654.27</v>
          </cell>
        </row>
        <row r="559">
          <cell r="F559">
            <v>56.2</v>
          </cell>
        </row>
        <row r="560">
          <cell r="F560">
            <v>628.12</v>
          </cell>
        </row>
        <row r="561">
          <cell r="F561">
            <v>157.4</v>
          </cell>
        </row>
        <row r="562">
          <cell r="F562">
            <v>588.85</v>
          </cell>
        </row>
        <row r="563">
          <cell r="F563">
            <v>494.78</v>
          </cell>
        </row>
        <row r="564">
          <cell r="F564">
            <v>663.93</v>
          </cell>
        </row>
        <row r="565">
          <cell r="F565">
            <v>132.68</v>
          </cell>
        </row>
        <row r="566">
          <cell r="F566">
            <v>364.28</v>
          </cell>
        </row>
        <row r="567">
          <cell r="F567">
            <v>307.98</v>
          </cell>
        </row>
        <row r="568">
          <cell r="F568">
            <v>162.71</v>
          </cell>
        </row>
        <row r="569">
          <cell r="F569">
            <v>492.94</v>
          </cell>
        </row>
        <row r="570">
          <cell r="F570">
            <v>343.99</v>
          </cell>
        </row>
        <row r="571">
          <cell r="F571">
            <v>250.68</v>
          </cell>
        </row>
        <row r="572">
          <cell r="F572">
            <v>362.14</v>
          </cell>
        </row>
        <row r="573">
          <cell r="F573">
            <v>214.08</v>
          </cell>
        </row>
        <row r="574">
          <cell r="F574">
            <v>70.319999999999993</v>
          </cell>
        </row>
        <row r="575">
          <cell r="F575">
            <v>421.42</v>
          </cell>
        </row>
        <row r="576">
          <cell r="F576">
            <v>384.69</v>
          </cell>
        </row>
        <row r="577">
          <cell r="F577">
            <v>448.15</v>
          </cell>
        </row>
        <row r="578">
          <cell r="F578">
            <v>79.08</v>
          </cell>
        </row>
        <row r="579">
          <cell r="F579">
            <v>185.41</v>
          </cell>
        </row>
        <row r="580">
          <cell r="F580">
            <v>566.07000000000005</v>
          </cell>
        </row>
        <row r="581">
          <cell r="F581">
            <v>187.88</v>
          </cell>
        </row>
        <row r="582">
          <cell r="F582">
            <v>255.99</v>
          </cell>
        </row>
        <row r="583">
          <cell r="F583">
            <v>627.34</v>
          </cell>
        </row>
        <row r="584">
          <cell r="F584">
            <v>474.14</v>
          </cell>
        </row>
        <row r="585">
          <cell r="F585">
            <v>154.37</v>
          </cell>
        </row>
        <row r="586">
          <cell r="F586">
            <v>145.05000000000001</v>
          </cell>
        </row>
        <row r="587">
          <cell r="F587">
            <v>67.08</v>
          </cell>
        </row>
        <row r="588">
          <cell r="F588">
            <v>522.08000000000004</v>
          </cell>
        </row>
        <row r="589">
          <cell r="F589">
            <v>514.6</v>
          </cell>
        </row>
        <row r="590">
          <cell r="F590">
            <v>577.82000000000005</v>
          </cell>
        </row>
        <row r="591">
          <cell r="F591">
            <v>500.8</v>
          </cell>
        </row>
        <row r="592">
          <cell r="F592">
            <v>461.13</v>
          </cell>
        </row>
        <row r="593">
          <cell r="F593">
            <v>605.28</v>
          </cell>
        </row>
        <row r="594">
          <cell r="F594">
            <v>204.27</v>
          </cell>
        </row>
        <row r="595">
          <cell r="F595">
            <v>489.8</v>
          </cell>
        </row>
        <row r="596">
          <cell r="F596">
            <v>72.64</v>
          </cell>
        </row>
        <row r="597">
          <cell r="F597">
            <v>385.16</v>
          </cell>
        </row>
        <row r="598">
          <cell r="F598">
            <v>606.41</v>
          </cell>
        </row>
        <row r="599">
          <cell r="F599">
            <v>211.82</v>
          </cell>
        </row>
        <row r="600">
          <cell r="F600">
            <v>495.35</v>
          </cell>
        </row>
        <row r="601">
          <cell r="F601">
            <v>556.99</v>
          </cell>
        </row>
        <row r="602">
          <cell r="F602">
            <v>72.31</v>
          </cell>
        </row>
        <row r="603">
          <cell r="F603">
            <v>24.82</v>
          </cell>
        </row>
        <row r="604">
          <cell r="F604">
            <v>26.04</v>
          </cell>
        </row>
        <row r="605">
          <cell r="F605">
            <v>657.07</v>
          </cell>
        </row>
        <row r="606">
          <cell r="F606">
            <v>32.619999999999997</v>
          </cell>
        </row>
        <row r="607">
          <cell r="F607">
            <v>228.91</v>
          </cell>
        </row>
        <row r="608">
          <cell r="F608">
            <v>274.75</v>
          </cell>
        </row>
        <row r="609">
          <cell r="F609">
            <v>634.04999999999995</v>
          </cell>
        </row>
        <row r="610">
          <cell r="F610">
            <v>543.16</v>
          </cell>
        </row>
        <row r="611">
          <cell r="F611">
            <v>449.13</v>
          </cell>
        </row>
        <row r="612">
          <cell r="F612">
            <v>389.62</v>
          </cell>
        </row>
        <row r="613">
          <cell r="F613">
            <v>305.17</v>
          </cell>
        </row>
        <row r="614">
          <cell r="F614">
            <v>445.12</v>
          </cell>
        </row>
        <row r="615">
          <cell r="F615">
            <v>230.36</v>
          </cell>
        </row>
        <row r="616">
          <cell r="F616">
            <v>96.81</v>
          </cell>
        </row>
        <row r="617">
          <cell r="F617">
            <v>460.14</v>
          </cell>
        </row>
        <row r="618">
          <cell r="F618">
            <v>601.6</v>
          </cell>
        </row>
        <row r="619">
          <cell r="F619">
            <v>184.47</v>
          </cell>
        </row>
        <row r="620">
          <cell r="F620">
            <v>411.34</v>
          </cell>
        </row>
        <row r="621">
          <cell r="F621">
            <v>532.89</v>
          </cell>
        </row>
        <row r="622">
          <cell r="F622">
            <v>136.34</v>
          </cell>
        </row>
        <row r="623">
          <cell r="F623">
            <v>476.01</v>
          </cell>
        </row>
        <row r="624">
          <cell r="F624">
            <v>236.38</v>
          </cell>
        </row>
        <row r="625">
          <cell r="F625">
            <v>396</v>
          </cell>
        </row>
        <row r="626">
          <cell r="F626">
            <v>341.96</v>
          </cell>
        </row>
        <row r="627">
          <cell r="F627">
            <v>672.89</v>
          </cell>
        </row>
        <row r="628">
          <cell r="F628">
            <v>657.48</v>
          </cell>
        </row>
        <row r="629">
          <cell r="F629">
            <v>498.68</v>
          </cell>
        </row>
        <row r="630">
          <cell r="F630">
            <v>558.63</v>
          </cell>
        </row>
        <row r="631">
          <cell r="F631">
            <v>19.73</v>
          </cell>
        </row>
        <row r="632">
          <cell r="F632">
            <v>248.84</v>
          </cell>
        </row>
        <row r="633">
          <cell r="F633">
            <v>46.11</v>
          </cell>
        </row>
        <row r="634">
          <cell r="F634">
            <v>678.16</v>
          </cell>
        </row>
        <row r="635">
          <cell r="F635">
            <v>601.72</v>
          </cell>
        </row>
        <row r="636">
          <cell r="F636">
            <v>259.32</v>
          </cell>
        </row>
        <row r="637">
          <cell r="F637">
            <v>63.68</v>
          </cell>
        </row>
        <row r="638">
          <cell r="F638">
            <v>371.07</v>
          </cell>
        </row>
        <row r="639">
          <cell r="F639">
            <v>306.35000000000002</v>
          </cell>
        </row>
        <row r="640">
          <cell r="F640">
            <v>578.27</v>
          </cell>
        </row>
        <row r="641">
          <cell r="F641">
            <v>529.19000000000005</v>
          </cell>
        </row>
        <row r="642">
          <cell r="F642">
            <v>587.49</v>
          </cell>
        </row>
        <row r="643">
          <cell r="F643">
            <v>567.57000000000005</v>
          </cell>
        </row>
        <row r="644">
          <cell r="F644">
            <v>85.22</v>
          </cell>
        </row>
        <row r="645">
          <cell r="F645">
            <v>438.37</v>
          </cell>
        </row>
        <row r="646">
          <cell r="F646">
            <v>366.23</v>
          </cell>
        </row>
        <row r="647">
          <cell r="F647">
            <v>150.05000000000001</v>
          </cell>
        </row>
        <row r="648">
          <cell r="F648">
            <v>498.51</v>
          </cell>
        </row>
        <row r="649">
          <cell r="F649">
            <v>339.39</v>
          </cell>
        </row>
        <row r="650">
          <cell r="F650">
            <v>575.83000000000004</v>
          </cell>
        </row>
        <row r="651">
          <cell r="F651">
            <v>642.98</v>
          </cell>
        </row>
        <row r="652">
          <cell r="F652">
            <v>372.23</v>
          </cell>
        </row>
        <row r="653">
          <cell r="F653">
            <v>646.34</v>
          </cell>
        </row>
        <row r="654">
          <cell r="F654">
            <v>341.84</v>
          </cell>
        </row>
        <row r="655">
          <cell r="F655">
            <v>690.3</v>
          </cell>
        </row>
        <row r="656">
          <cell r="F656">
            <v>382.37</v>
          </cell>
        </row>
        <row r="657">
          <cell r="F657">
            <v>132.6</v>
          </cell>
        </row>
        <row r="658">
          <cell r="F658">
            <v>189.06</v>
          </cell>
        </row>
        <row r="659">
          <cell r="F659">
            <v>87.79</v>
          </cell>
        </row>
        <row r="660">
          <cell r="F660">
            <v>46.36</v>
          </cell>
        </row>
        <row r="661">
          <cell r="F661">
            <v>642.04</v>
          </cell>
        </row>
        <row r="662">
          <cell r="F662">
            <v>651.57000000000005</v>
          </cell>
        </row>
        <row r="663">
          <cell r="F663">
            <v>424.89</v>
          </cell>
        </row>
        <row r="664">
          <cell r="F664">
            <v>438.89</v>
          </cell>
        </row>
        <row r="665">
          <cell r="F665">
            <v>72.599999999999994</v>
          </cell>
        </row>
        <row r="666">
          <cell r="F666">
            <v>194.75</v>
          </cell>
        </row>
        <row r="667">
          <cell r="F667">
            <v>231.26</v>
          </cell>
        </row>
        <row r="668">
          <cell r="F668">
            <v>327.12</v>
          </cell>
        </row>
        <row r="669">
          <cell r="F669">
            <v>466.42</v>
          </cell>
        </row>
        <row r="670">
          <cell r="F670">
            <v>253.67</v>
          </cell>
        </row>
        <row r="671">
          <cell r="F671">
            <v>257</v>
          </cell>
        </row>
        <row r="672">
          <cell r="F672">
            <v>539.20000000000005</v>
          </cell>
        </row>
        <row r="673">
          <cell r="F673">
            <v>50.74</v>
          </cell>
        </row>
        <row r="674">
          <cell r="F674">
            <v>624.16</v>
          </cell>
        </row>
        <row r="675">
          <cell r="F675">
            <v>372.92</v>
          </cell>
        </row>
        <row r="676">
          <cell r="F676">
            <v>358.75</v>
          </cell>
        </row>
        <row r="677">
          <cell r="F677">
            <v>342.02</v>
          </cell>
        </row>
        <row r="678">
          <cell r="F678">
            <v>422.34</v>
          </cell>
        </row>
        <row r="679">
          <cell r="F679">
            <v>22.07</v>
          </cell>
        </row>
        <row r="680">
          <cell r="F680">
            <v>163.13</v>
          </cell>
        </row>
        <row r="681">
          <cell r="F681">
            <v>360.66</v>
          </cell>
        </row>
        <row r="682">
          <cell r="F682">
            <v>463.39</v>
          </cell>
        </row>
        <row r="683">
          <cell r="F683">
            <v>155.27000000000001</v>
          </cell>
        </row>
        <row r="684">
          <cell r="F684">
            <v>509.42</v>
          </cell>
        </row>
        <row r="685">
          <cell r="F685">
            <v>652.48</v>
          </cell>
        </row>
        <row r="686">
          <cell r="F686">
            <v>34.840000000000003</v>
          </cell>
        </row>
        <row r="687">
          <cell r="F687">
            <v>234.37</v>
          </cell>
        </row>
        <row r="688">
          <cell r="F688">
            <v>53.6</v>
          </cell>
        </row>
        <row r="689">
          <cell r="F689">
            <v>332.09</v>
          </cell>
        </row>
        <row r="690">
          <cell r="F690">
            <v>593.22</v>
          </cell>
        </row>
        <row r="691">
          <cell r="F691">
            <v>444.84</v>
          </cell>
        </row>
        <row r="692">
          <cell r="F692">
            <v>24.48</v>
          </cell>
        </row>
        <row r="693">
          <cell r="F693">
            <v>239.08</v>
          </cell>
        </row>
        <row r="694">
          <cell r="F694">
            <v>196.84</v>
          </cell>
        </row>
        <row r="695">
          <cell r="F695">
            <v>176.58</v>
          </cell>
        </row>
        <row r="696">
          <cell r="F696">
            <v>666.52</v>
          </cell>
        </row>
        <row r="697">
          <cell r="F697">
            <v>101.3</v>
          </cell>
        </row>
        <row r="698">
          <cell r="F698">
            <v>151.19999999999999</v>
          </cell>
        </row>
        <row r="699">
          <cell r="F699">
            <v>94.85</v>
          </cell>
        </row>
        <row r="700">
          <cell r="F700">
            <v>388.22</v>
          </cell>
        </row>
        <row r="701">
          <cell r="F701">
            <v>614.15</v>
          </cell>
        </row>
        <row r="702">
          <cell r="F702">
            <v>92.91</v>
          </cell>
        </row>
        <row r="703">
          <cell r="F703">
            <v>92.22</v>
          </cell>
        </row>
        <row r="704">
          <cell r="F704">
            <v>562.54999999999995</v>
          </cell>
        </row>
        <row r="705">
          <cell r="F705">
            <v>92.79</v>
          </cell>
        </row>
        <row r="706">
          <cell r="F706">
            <v>30.27</v>
          </cell>
        </row>
        <row r="707">
          <cell r="F707">
            <v>49.08</v>
          </cell>
        </row>
        <row r="708">
          <cell r="F708">
            <v>228.09</v>
          </cell>
        </row>
        <row r="709">
          <cell r="F709">
            <v>650.04</v>
          </cell>
        </row>
        <row r="710">
          <cell r="F710">
            <v>665.11</v>
          </cell>
        </row>
        <row r="711">
          <cell r="F711">
            <v>386.03</v>
          </cell>
        </row>
        <row r="712">
          <cell r="F712">
            <v>21.54</v>
          </cell>
        </row>
        <row r="713">
          <cell r="F713">
            <v>475.78</v>
          </cell>
        </row>
        <row r="714">
          <cell r="F714">
            <v>68.400000000000006</v>
          </cell>
        </row>
        <row r="715">
          <cell r="F715">
            <v>532.49</v>
          </cell>
        </row>
        <row r="716">
          <cell r="F716">
            <v>51.73</v>
          </cell>
        </row>
        <row r="717">
          <cell r="F717">
            <v>653.63</v>
          </cell>
        </row>
        <row r="718">
          <cell r="F718">
            <v>454.29</v>
          </cell>
        </row>
        <row r="719">
          <cell r="F719">
            <v>122.11</v>
          </cell>
        </row>
        <row r="720">
          <cell r="F720">
            <v>64.739999999999995</v>
          </cell>
        </row>
        <row r="721">
          <cell r="F721">
            <v>681.06</v>
          </cell>
        </row>
        <row r="722">
          <cell r="F722">
            <v>128.94999999999999</v>
          </cell>
        </row>
        <row r="723">
          <cell r="F723">
            <v>118.59</v>
          </cell>
        </row>
        <row r="724">
          <cell r="F724">
            <v>95.1</v>
          </cell>
        </row>
        <row r="725">
          <cell r="F725">
            <v>54.95</v>
          </cell>
        </row>
        <row r="726">
          <cell r="F726">
            <v>136.97</v>
          </cell>
        </row>
        <row r="727">
          <cell r="F727">
            <v>194.85</v>
          </cell>
        </row>
        <row r="728">
          <cell r="F728">
            <v>583.02</v>
          </cell>
        </row>
        <row r="729">
          <cell r="F729">
            <v>95.75</v>
          </cell>
        </row>
        <row r="730">
          <cell r="F730">
            <v>325.76</v>
          </cell>
        </row>
        <row r="731">
          <cell r="F731">
            <v>186.41</v>
          </cell>
        </row>
        <row r="732">
          <cell r="F732">
            <v>474.6</v>
          </cell>
        </row>
        <row r="733">
          <cell r="F733">
            <v>584.46</v>
          </cell>
        </row>
        <row r="734">
          <cell r="F734">
            <v>132.05000000000001</v>
          </cell>
        </row>
        <row r="735">
          <cell r="F735">
            <v>494.84</v>
          </cell>
        </row>
        <row r="736">
          <cell r="F736">
            <v>224.61</v>
          </cell>
        </row>
        <row r="737">
          <cell r="F737">
            <v>44.07</v>
          </cell>
        </row>
        <row r="738">
          <cell r="F738">
            <v>418.53</v>
          </cell>
        </row>
        <row r="739">
          <cell r="F739">
            <v>532.87</v>
          </cell>
        </row>
        <row r="740">
          <cell r="F740">
            <v>485.37</v>
          </cell>
        </row>
        <row r="741">
          <cell r="F741">
            <v>386.73</v>
          </cell>
        </row>
        <row r="742">
          <cell r="F742">
            <v>377.47</v>
          </cell>
        </row>
        <row r="743">
          <cell r="F743">
            <v>332.64</v>
          </cell>
        </row>
        <row r="744">
          <cell r="F744">
            <v>699.93</v>
          </cell>
        </row>
        <row r="745">
          <cell r="F745">
            <v>576.35</v>
          </cell>
        </row>
        <row r="746">
          <cell r="F746">
            <v>461.37</v>
          </cell>
        </row>
        <row r="747">
          <cell r="F747">
            <v>111.3</v>
          </cell>
        </row>
        <row r="748">
          <cell r="F748">
            <v>661.89</v>
          </cell>
        </row>
        <row r="749">
          <cell r="F749">
            <v>259.58</v>
          </cell>
        </row>
        <row r="750">
          <cell r="F750">
            <v>70.81</v>
          </cell>
        </row>
        <row r="751">
          <cell r="F751">
            <v>518.39</v>
          </cell>
        </row>
        <row r="752">
          <cell r="F752">
            <v>145.41</v>
          </cell>
        </row>
        <row r="753">
          <cell r="F753">
            <v>599.86</v>
          </cell>
        </row>
        <row r="754">
          <cell r="F754">
            <v>429.37</v>
          </cell>
        </row>
        <row r="755">
          <cell r="F755">
            <v>241.49</v>
          </cell>
        </row>
        <row r="756">
          <cell r="F756">
            <v>452.05</v>
          </cell>
        </row>
        <row r="757">
          <cell r="F757">
            <v>336.71</v>
          </cell>
        </row>
        <row r="758">
          <cell r="F758">
            <v>283.69</v>
          </cell>
        </row>
        <row r="759">
          <cell r="F759">
            <v>157.72</v>
          </cell>
        </row>
        <row r="760">
          <cell r="F760">
            <v>624.84</v>
          </cell>
        </row>
        <row r="761">
          <cell r="F761">
            <v>308.01</v>
          </cell>
        </row>
        <row r="762">
          <cell r="F762">
            <v>39.56</v>
          </cell>
        </row>
        <row r="763">
          <cell r="F763">
            <v>37.76</v>
          </cell>
        </row>
        <row r="764">
          <cell r="F764">
            <v>76.959999999999994</v>
          </cell>
        </row>
        <row r="765">
          <cell r="F765">
            <v>569.96</v>
          </cell>
        </row>
        <row r="766">
          <cell r="F766">
            <v>627.42999999999995</v>
          </cell>
        </row>
        <row r="767">
          <cell r="F767">
            <v>534.91</v>
          </cell>
        </row>
        <row r="768">
          <cell r="F768">
            <v>278.88</v>
          </cell>
        </row>
        <row r="769">
          <cell r="F769">
            <v>323.22000000000003</v>
          </cell>
        </row>
        <row r="770">
          <cell r="F770">
            <v>653.46</v>
          </cell>
        </row>
        <row r="771">
          <cell r="F771">
            <v>678.55</v>
          </cell>
        </row>
        <row r="772">
          <cell r="F772">
            <v>314.38</v>
          </cell>
        </row>
        <row r="773">
          <cell r="F773">
            <v>692.44</v>
          </cell>
        </row>
        <row r="774">
          <cell r="F774">
            <v>604.87</v>
          </cell>
        </row>
        <row r="775">
          <cell r="F775">
            <v>512.33000000000004</v>
          </cell>
        </row>
        <row r="776">
          <cell r="F776">
            <v>20.54</v>
          </cell>
        </row>
        <row r="777">
          <cell r="F777">
            <v>625.22</v>
          </cell>
        </row>
        <row r="778">
          <cell r="F778">
            <v>21.19</v>
          </cell>
        </row>
        <row r="779">
          <cell r="F779">
            <v>64.489999999999995</v>
          </cell>
        </row>
        <row r="780">
          <cell r="F780">
            <v>246.85</v>
          </cell>
        </row>
        <row r="781">
          <cell r="F781">
            <v>588.74</v>
          </cell>
        </row>
        <row r="782">
          <cell r="F782">
            <v>184.48</v>
          </cell>
        </row>
        <row r="783">
          <cell r="F783">
            <v>524.26</v>
          </cell>
        </row>
        <row r="784">
          <cell r="F784">
            <v>493.63</v>
          </cell>
        </row>
        <row r="785">
          <cell r="F785">
            <v>438.34</v>
          </cell>
        </row>
        <row r="786">
          <cell r="F786">
            <v>325.81</v>
          </cell>
        </row>
        <row r="787">
          <cell r="F787">
            <v>176.1</v>
          </cell>
        </row>
        <row r="788">
          <cell r="F788">
            <v>45.31</v>
          </cell>
        </row>
        <row r="789">
          <cell r="F789">
            <v>221.96</v>
          </cell>
        </row>
        <row r="790">
          <cell r="F790">
            <v>601.42999999999995</v>
          </cell>
        </row>
        <row r="791">
          <cell r="F791">
            <v>691.28</v>
          </cell>
        </row>
        <row r="792">
          <cell r="F792">
            <v>417.89</v>
          </cell>
        </row>
        <row r="793">
          <cell r="F793">
            <v>409.28</v>
          </cell>
        </row>
        <row r="794">
          <cell r="F794">
            <v>356.35</v>
          </cell>
        </row>
        <row r="795">
          <cell r="F795">
            <v>170.22</v>
          </cell>
        </row>
        <row r="796">
          <cell r="F796">
            <v>384.85</v>
          </cell>
        </row>
        <row r="797">
          <cell r="F797">
            <v>115.77</v>
          </cell>
        </row>
        <row r="798">
          <cell r="F798">
            <v>579.54999999999995</v>
          </cell>
        </row>
        <row r="799">
          <cell r="F799">
            <v>438.76</v>
          </cell>
        </row>
        <row r="800">
          <cell r="F800">
            <v>488.35</v>
          </cell>
        </row>
        <row r="801">
          <cell r="F801">
            <v>328.56</v>
          </cell>
        </row>
        <row r="802">
          <cell r="F802">
            <v>68.39</v>
          </cell>
        </row>
        <row r="803">
          <cell r="F803">
            <v>595.62</v>
          </cell>
        </row>
        <row r="804">
          <cell r="F804">
            <v>644.64</v>
          </cell>
        </row>
        <row r="805">
          <cell r="F805">
            <v>397.81</v>
          </cell>
        </row>
        <row r="806">
          <cell r="F806">
            <v>236.5</v>
          </cell>
        </row>
        <row r="807">
          <cell r="F807">
            <v>472.01</v>
          </cell>
        </row>
        <row r="808">
          <cell r="F808">
            <v>253.75</v>
          </cell>
        </row>
        <row r="809">
          <cell r="F809">
            <v>676.21</v>
          </cell>
        </row>
        <row r="810">
          <cell r="F810">
            <v>134.05000000000001</v>
          </cell>
        </row>
        <row r="811">
          <cell r="F811">
            <v>217.43</v>
          </cell>
        </row>
        <row r="812">
          <cell r="F812">
            <v>553.55999999999995</v>
          </cell>
        </row>
        <row r="813">
          <cell r="F813">
            <v>28.55</v>
          </cell>
        </row>
        <row r="814">
          <cell r="F814">
            <v>255.26</v>
          </cell>
        </row>
        <row r="815">
          <cell r="F815">
            <v>292.54000000000002</v>
          </cell>
        </row>
        <row r="816">
          <cell r="F816">
            <v>147.51</v>
          </cell>
        </row>
        <row r="817">
          <cell r="F817">
            <v>569.84</v>
          </cell>
        </row>
        <row r="818">
          <cell r="F818">
            <v>574.79</v>
          </cell>
        </row>
        <row r="819">
          <cell r="F819">
            <v>598.19000000000005</v>
          </cell>
        </row>
        <row r="820">
          <cell r="F820">
            <v>390.84</v>
          </cell>
        </row>
        <row r="821">
          <cell r="F821">
            <v>398.45</v>
          </cell>
        </row>
        <row r="822">
          <cell r="F822">
            <v>623.80999999999995</v>
          </cell>
        </row>
        <row r="823">
          <cell r="F823">
            <v>174.49</v>
          </cell>
        </row>
        <row r="824">
          <cell r="F824">
            <v>479.56</v>
          </cell>
        </row>
        <row r="825">
          <cell r="F825">
            <v>653.13</v>
          </cell>
        </row>
        <row r="826">
          <cell r="F826">
            <v>481.1</v>
          </cell>
        </row>
        <row r="827">
          <cell r="F827">
            <v>271.69</v>
          </cell>
        </row>
        <row r="828">
          <cell r="F828">
            <v>463.81</v>
          </cell>
        </row>
        <row r="829">
          <cell r="F829">
            <v>639.88</v>
          </cell>
        </row>
        <row r="830">
          <cell r="F830">
            <v>404.58</v>
          </cell>
        </row>
        <row r="831">
          <cell r="F831">
            <v>76.930000000000007</v>
          </cell>
        </row>
        <row r="832">
          <cell r="F832">
            <v>190.64</v>
          </cell>
        </row>
        <row r="833">
          <cell r="F833">
            <v>88.73</v>
          </cell>
        </row>
        <row r="834">
          <cell r="F834">
            <v>485.71</v>
          </cell>
        </row>
        <row r="835">
          <cell r="F835">
            <v>78.290000000000006</v>
          </cell>
        </row>
        <row r="836">
          <cell r="F836">
            <v>22.14</v>
          </cell>
        </row>
        <row r="837">
          <cell r="F837">
            <v>679.65</v>
          </cell>
        </row>
        <row r="838">
          <cell r="F838">
            <v>178.44</v>
          </cell>
        </row>
        <row r="839">
          <cell r="F839">
            <v>655.55</v>
          </cell>
        </row>
        <row r="840">
          <cell r="F840">
            <v>577.08000000000004</v>
          </cell>
        </row>
        <row r="841">
          <cell r="F841">
            <v>197.97</v>
          </cell>
        </row>
        <row r="842">
          <cell r="F842">
            <v>411.95</v>
          </cell>
        </row>
        <row r="843">
          <cell r="F843">
            <v>443.22</v>
          </cell>
        </row>
        <row r="844">
          <cell r="F844">
            <v>364.14</v>
          </cell>
        </row>
        <row r="845">
          <cell r="F845">
            <v>430.06</v>
          </cell>
        </row>
        <row r="846">
          <cell r="F846">
            <v>320.92</v>
          </cell>
        </row>
        <row r="847">
          <cell r="F847">
            <v>107.36</v>
          </cell>
        </row>
        <row r="848">
          <cell r="F848">
            <v>359.86</v>
          </cell>
        </row>
        <row r="849">
          <cell r="F849">
            <v>434.23</v>
          </cell>
        </row>
        <row r="850">
          <cell r="F850">
            <v>645.85</v>
          </cell>
        </row>
        <row r="851">
          <cell r="F851">
            <v>214.35</v>
          </cell>
        </row>
        <row r="852">
          <cell r="F852">
            <v>638.5</v>
          </cell>
        </row>
        <row r="853">
          <cell r="F853">
            <v>365.57</v>
          </cell>
        </row>
        <row r="854">
          <cell r="F854">
            <v>568.04999999999995</v>
          </cell>
        </row>
        <row r="855">
          <cell r="F855">
            <v>490.01</v>
          </cell>
        </row>
        <row r="856">
          <cell r="F856">
            <v>372.6</v>
          </cell>
        </row>
        <row r="857">
          <cell r="F857">
            <v>240.61</v>
          </cell>
        </row>
        <row r="858">
          <cell r="F858">
            <v>586.62</v>
          </cell>
        </row>
        <row r="859">
          <cell r="F859">
            <v>257.83999999999997</v>
          </cell>
        </row>
        <row r="860">
          <cell r="F860">
            <v>435.66</v>
          </cell>
        </row>
        <row r="861">
          <cell r="F861">
            <v>261.33</v>
          </cell>
        </row>
        <row r="862">
          <cell r="F862">
            <v>422.54</v>
          </cell>
        </row>
        <row r="863">
          <cell r="F863">
            <v>330.45</v>
          </cell>
        </row>
        <row r="864">
          <cell r="F864">
            <v>120.82</v>
          </cell>
        </row>
        <row r="865">
          <cell r="F865">
            <v>14.06</v>
          </cell>
        </row>
        <row r="866">
          <cell r="F866">
            <v>491.11</v>
          </cell>
        </row>
        <row r="867">
          <cell r="F867">
            <v>677.37</v>
          </cell>
        </row>
        <row r="868">
          <cell r="F868">
            <v>189.25</v>
          </cell>
        </row>
        <row r="869">
          <cell r="F869">
            <v>142.58000000000001</v>
          </cell>
        </row>
        <row r="870">
          <cell r="F870">
            <v>316.32</v>
          </cell>
        </row>
        <row r="871">
          <cell r="F871">
            <v>533.95000000000005</v>
          </cell>
        </row>
        <row r="872">
          <cell r="F872">
            <v>470.09</v>
          </cell>
        </row>
        <row r="873">
          <cell r="F873">
            <v>324.3</v>
          </cell>
        </row>
        <row r="874">
          <cell r="F874">
            <v>629.34</v>
          </cell>
        </row>
        <row r="875">
          <cell r="F875">
            <v>136.84</v>
          </cell>
        </row>
        <row r="876">
          <cell r="F876">
            <v>488.9</v>
          </cell>
        </row>
        <row r="877">
          <cell r="F877">
            <v>133.38999999999999</v>
          </cell>
        </row>
        <row r="878">
          <cell r="F878">
            <v>608.91</v>
          </cell>
        </row>
        <row r="879">
          <cell r="F879">
            <v>524.05999999999995</v>
          </cell>
        </row>
        <row r="880">
          <cell r="F880">
            <v>330.69</v>
          </cell>
        </row>
        <row r="881">
          <cell r="F881">
            <v>547.66999999999996</v>
          </cell>
        </row>
        <row r="882">
          <cell r="F882">
            <v>233.7</v>
          </cell>
        </row>
        <row r="883">
          <cell r="F883">
            <v>448.85</v>
          </cell>
        </row>
        <row r="884">
          <cell r="F884">
            <v>274.12</v>
          </cell>
        </row>
        <row r="885">
          <cell r="F885">
            <v>561.48</v>
          </cell>
        </row>
        <row r="886">
          <cell r="F886">
            <v>595.54</v>
          </cell>
        </row>
        <row r="887">
          <cell r="F887">
            <v>515.59</v>
          </cell>
        </row>
        <row r="888">
          <cell r="F888">
            <v>460.13</v>
          </cell>
        </row>
        <row r="889">
          <cell r="F889">
            <v>171.66</v>
          </cell>
        </row>
        <row r="890">
          <cell r="F890">
            <v>266.95</v>
          </cell>
        </row>
        <row r="891">
          <cell r="F891">
            <v>650.72</v>
          </cell>
        </row>
        <row r="892">
          <cell r="F892">
            <v>439.53</v>
          </cell>
        </row>
        <row r="893">
          <cell r="F893">
            <v>654.54</v>
          </cell>
        </row>
        <row r="894">
          <cell r="F894">
            <v>394.53</v>
          </cell>
        </row>
        <row r="895">
          <cell r="F895">
            <v>678.01</v>
          </cell>
        </row>
        <row r="896">
          <cell r="F896">
            <v>575.01</v>
          </cell>
        </row>
        <row r="897">
          <cell r="F897">
            <v>154.63999999999999</v>
          </cell>
        </row>
        <row r="898">
          <cell r="F898">
            <v>147.29</v>
          </cell>
        </row>
        <row r="899">
          <cell r="F899">
            <v>481.48</v>
          </cell>
        </row>
        <row r="900">
          <cell r="F900">
            <v>158.37</v>
          </cell>
        </row>
        <row r="901">
          <cell r="F901">
            <v>323.37</v>
          </cell>
        </row>
        <row r="902">
          <cell r="F902">
            <v>73.83</v>
          </cell>
        </row>
        <row r="903">
          <cell r="F903">
            <v>458.63</v>
          </cell>
        </row>
        <row r="904">
          <cell r="F904">
            <v>180.25</v>
          </cell>
        </row>
        <row r="905">
          <cell r="F905">
            <v>473.49</v>
          </cell>
        </row>
        <row r="906">
          <cell r="F906">
            <v>237.43</v>
          </cell>
        </row>
        <row r="907">
          <cell r="F907">
            <v>442.39</v>
          </cell>
        </row>
        <row r="908">
          <cell r="F908">
            <v>62.12</v>
          </cell>
        </row>
        <row r="909">
          <cell r="F909">
            <v>298.39</v>
          </cell>
        </row>
        <row r="910">
          <cell r="F910">
            <v>697.93</v>
          </cell>
        </row>
        <row r="911">
          <cell r="F911">
            <v>291.85000000000002</v>
          </cell>
        </row>
        <row r="912">
          <cell r="F912">
            <v>308.98</v>
          </cell>
        </row>
        <row r="913">
          <cell r="F913">
            <v>396.86</v>
          </cell>
        </row>
        <row r="914">
          <cell r="F914">
            <v>139.69</v>
          </cell>
        </row>
        <row r="915">
          <cell r="F915">
            <v>475.95</v>
          </cell>
        </row>
        <row r="916">
          <cell r="F916">
            <v>626.6</v>
          </cell>
        </row>
        <row r="917">
          <cell r="F917">
            <v>502.99</v>
          </cell>
        </row>
        <row r="918">
          <cell r="F918">
            <v>578.83000000000004</v>
          </cell>
        </row>
        <row r="919">
          <cell r="F919">
            <v>383.82</v>
          </cell>
        </row>
        <row r="920">
          <cell r="F920">
            <v>368.25</v>
          </cell>
        </row>
        <row r="921">
          <cell r="F921">
            <v>374.6</v>
          </cell>
        </row>
        <row r="922">
          <cell r="F922">
            <v>428.09</v>
          </cell>
        </row>
        <row r="923">
          <cell r="F923">
            <v>438.93</v>
          </cell>
        </row>
        <row r="924">
          <cell r="F924">
            <v>563.82000000000005</v>
          </cell>
        </row>
        <row r="925">
          <cell r="F925">
            <v>649.92999999999995</v>
          </cell>
        </row>
        <row r="926">
          <cell r="F926">
            <v>268.43</v>
          </cell>
        </row>
        <row r="927">
          <cell r="F927">
            <v>502.47</v>
          </cell>
        </row>
        <row r="928">
          <cell r="F928">
            <v>26.95</v>
          </cell>
        </row>
        <row r="929">
          <cell r="F929">
            <v>64.69</v>
          </cell>
        </row>
        <row r="930">
          <cell r="F930">
            <v>247.11</v>
          </cell>
        </row>
        <row r="931">
          <cell r="F931">
            <v>536.25</v>
          </cell>
        </row>
        <row r="932">
          <cell r="F932">
            <v>456.04</v>
          </cell>
        </row>
        <row r="933">
          <cell r="F933">
            <v>40.229999999999997</v>
          </cell>
        </row>
        <row r="934">
          <cell r="F934">
            <v>72.39</v>
          </cell>
        </row>
        <row r="935">
          <cell r="F935">
            <v>394.16</v>
          </cell>
        </row>
        <row r="936">
          <cell r="F936">
            <v>119.84</v>
          </cell>
        </row>
        <row r="937">
          <cell r="F937">
            <v>692.71</v>
          </cell>
        </row>
        <row r="938">
          <cell r="F938">
            <v>56.66</v>
          </cell>
        </row>
        <row r="939">
          <cell r="F939">
            <v>298.52999999999997</v>
          </cell>
        </row>
        <row r="940">
          <cell r="F940">
            <v>331.46</v>
          </cell>
        </row>
        <row r="941">
          <cell r="F941">
            <v>521.4</v>
          </cell>
        </row>
        <row r="942">
          <cell r="F942">
            <v>305.32</v>
          </cell>
        </row>
        <row r="943">
          <cell r="F943">
            <v>111.7</v>
          </cell>
        </row>
        <row r="944">
          <cell r="F944">
            <v>479.76</v>
          </cell>
        </row>
        <row r="945">
          <cell r="F945">
            <v>193.49</v>
          </cell>
        </row>
        <row r="946">
          <cell r="F946">
            <v>426.22</v>
          </cell>
        </row>
        <row r="947">
          <cell r="F947">
            <v>276.44</v>
          </cell>
        </row>
        <row r="948">
          <cell r="F948">
            <v>404.96</v>
          </cell>
        </row>
        <row r="949">
          <cell r="F949">
            <v>465.66</v>
          </cell>
        </row>
        <row r="950">
          <cell r="F950">
            <v>594.07000000000005</v>
          </cell>
        </row>
        <row r="951">
          <cell r="F951">
            <v>110.38</v>
          </cell>
        </row>
        <row r="952">
          <cell r="F952">
            <v>596.24</v>
          </cell>
        </row>
        <row r="953">
          <cell r="F953">
            <v>306.24</v>
          </cell>
        </row>
        <row r="954">
          <cell r="F954">
            <v>503.39</v>
          </cell>
        </row>
        <row r="955">
          <cell r="F955">
            <v>131.61000000000001</v>
          </cell>
        </row>
        <row r="956">
          <cell r="F956">
            <v>443.44</v>
          </cell>
        </row>
        <row r="957">
          <cell r="F957">
            <v>408.13</v>
          </cell>
        </row>
        <row r="958">
          <cell r="F958">
            <v>160.97999999999999</v>
          </cell>
        </row>
        <row r="959">
          <cell r="F959">
            <v>643.89</v>
          </cell>
        </row>
        <row r="960">
          <cell r="F960">
            <v>158.66</v>
          </cell>
        </row>
        <row r="961">
          <cell r="F961">
            <v>143.82</v>
          </cell>
        </row>
        <row r="962">
          <cell r="F962">
            <v>379.07</v>
          </cell>
        </row>
        <row r="963">
          <cell r="F963">
            <v>601.36</v>
          </cell>
        </row>
        <row r="964">
          <cell r="F964">
            <v>142.08000000000001</v>
          </cell>
        </row>
        <row r="965">
          <cell r="F965">
            <v>530.34</v>
          </cell>
        </row>
        <row r="966">
          <cell r="F966">
            <v>364.42</v>
          </cell>
        </row>
        <row r="967">
          <cell r="F967">
            <v>578.28</v>
          </cell>
        </row>
        <row r="968">
          <cell r="F968">
            <v>280.52</v>
          </cell>
        </row>
        <row r="969">
          <cell r="F969">
            <v>638.91999999999996</v>
          </cell>
        </row>
        <row r="970">
          <cell r="F970">
            <v>412.2</v>
          </cell>
        </row>
        <row r="971">
          <cell r="F971">
            <v>440.34</v>
          </cell>
        </row>
        <row r="972">
          <cell r="F972">
            <v>627.15</v>
          </cell>
        </row>
        <row r="973">
          <cell r="F973">
            <v>605.26</v>
          </cell>
        </row>
        <row r="974">
          <cell r="F974">
            <v>90.27</v>
          </cell>
        </row>
        <row r="975">
          <cell r="F975">
            <v>230.77</v>
          </cell>
        </row>
        <row r="976">
          <cell r="F976">
            <v>266.77999999999997</v>
          </cell>
        </row>
        <row r="977">
          <cell r="F977">
            <v>105.92</v>
          </cell>
        </row>
        <row r="978">
          <cell r="F978">
            <v>589.29999999999995</v>
          </cell>
        </row>
        <row r="979">
          <cell r="F979">
            <v>649.47</v>
          </cell>
        </row>
        <row r="980">
          <cell r="F980">
            <v>107.49</v>
          </cell>
        </row>
        <row r="981">
          <cell r="F981">
            <v>669.06</v>
          </cell>
        </row>
        <row r="982">
          <cell r="F982">
            <v>69.650000000000006</v>
          </cell>
        </row>
        <row r="983">
          <cell r="F983">
            <v>136.83000000000001</v>
          </cell>
        </row>
        <row r="984">
          <cell r="F984">
            <v>304.11</v>
          </cell>
        </row>
        <row r="985">
          <cell r="F985">
            <v>296.27999999999997</v>
          </cell>
        </row>
        <row r="986">
          <cell r="F986">
            <v>77.64</v>
          </cell>
        </row>
        <row r="987">
          <cell r="F987">
            <v>243.71</v>
          </cell>
        </row>
        <row r="988">
          <cell r="F988">
            <v>644.96</v>
          </cell>
        </row>
        <row r="989">
          <cell r="F989">
            <v>283.73</v>
          </cell>
        </row>
        <row r="990">
          <cell r="F990">
            <v>629.55999999999995</v>
          </cell>
        </row>
        <row r="991">
          <cell r="F991">
            <v>246.11</v>
          </cell>
        </row>
        <row r="992">
          <cell r="F992">
            <v>418.26</v>
          </cell>
        </row>
        <row r="993">
          <cell r="F993">
            <v>127.18</v>
          </cell>
        </row>
        <row r="994">
          <cell r="F994">
            <v>586.21</v>
          </cell>
        </row>
        <row r="995">
          <cell r="F995">
            <v>267.45</v>
          </cell>
        </row>
        <row r="996">
          <cell r="F996">
            <v>615.65</v>
          </cell>
        </row>
        <row r="997">
          <cell r="F997">
            <v>113.29</v>
          </cell>
        </row>
        <row r="998">
          <cell r="F998">
            <v>473.86</v>
          </cell>
        </row>
        <row r="999">
          <cell r="F999">
            <v>444.75</v>
          </cell>
        </row>
        <row r="1000">
          <cell r="F1000">
            <v>183.67</v>
          </cell>
        </row>
        <row r="1001">
          <cell r="F1001">
            <v>483.38</v>
          </cell>
        </row>
        <row r="1002">
          <cell r="F1002">
            <v>260.93</v>
          </cell>
        </row>
        <row r="1003">
          <cell r="F1003">
            <v>253.68</v>
          </cell>
        </row>
        <row r="1004">
          <cell r="F1004">
            <v>699.88</v>
          </cell>
        </row>
        <row r="1005">
          <cell r="F1005">
            <v>319.97000000000003</v>
          </cell>
        </row>
        <row r="1006">
          <cell r="F1006">
            <v>246.91</v>
          </cell>
        </row>
        <row r="1007">
          <cell r="F1007">
            <v>392.85</v>
          </cell>
        </row>
        <row r="1008">
          <cell r="F1008">
            <v>420.98</v>
          </cell>
        </row>
        <row r="1009">
          <cell r="F1009">
            <v>73.260000000000005</v>
          </cell>
        </row>
        <row r="1010">
          <cell r="F1010">
            <v>410.88</v>
          </cell>
        </row>
        <row r="1011">
          <cell r="F1011">
            <v>176.46</v>
          </cell>
        </row>
        <row r="1012">
          <cell r="F1012">
            <v>659.57</v>
          </cell>
        </row>
        <row r="1013">
          <cell r="F1013">
            <v>478.36</v>
          </cell>
        </row>
        <row r="1014">
          <cell r="F1014">
            <v>30.05</v>
          </cell>
        </row>
        <row r="1015">
          <cell r="F1015">
            <v>300.56</v>
          </cell>
        </row>
        <row r="1016">
          <cell r="F1016">
            <v>226.45</v>
          </cell>
        </row>
        <row r="1017">
          <cell r="F1017">
            <v>349.4</v>
          </cell>
        </row>
        <row r="1018">
          <cell r="F1018">
            <v>268.77999999999997</v>
          </cell>
        </row>
        <row r="1019">
          <cell r="F1019">
            <v>680.85</v>
          </cell>
        </row>
        <row r="1020">
          <cell r="F1020">
            <v>182.48</v>
          </cell>
        </row>
        <row r="1021">
          <cell r="F1021">
            <v>277.08999999999997</v>
          </cell>
        </row>
        <row r="1022">
          <cell r="F1022">
            <v>26.5</v>
          </cell>
        </row>
        <row r="1023">
          <cell r="F1023">
            <v>315.27</v>
          </cell>
        </row>
        <row r="1024">
          <cell r="F1024">
            <v>450.98</v>
          </cell>
        </row>
        <row r="1025">
          <cell r="F1025">
            <v>233.67</v>
          </cell>
        </row>
        <row r="1026">
          <cell r="F1026">
            <v>367.75</v>
          </cell>
        </row>
        <row r="1027">
          <cell r="F1027">
            <v>23.53</v>
          </cell>
        </row>
        <row r="1028">
          <cell r="F1028">
            <v>677.48</v>
          </cell>
        </row>
        <row r="1029">
          <cell r="F1029">
            <v>554.83000000000004</v>
          </cell>
        </row>
        <row r="1030">
          <cell r="F1030">
            <v>440.31</v>
          </cell>
        </row>
        <row r="1031">
          <cell r="F1031">
            <v>87.06</v>
          </cell>
        </row>
        <row r="1032">
          <cell r="F1032">
            <v>245.28</v>
          </cell>
        </row>
        <row r="1033">
          <cell r="F1033">
            <v>664.51</v>
          </cell>
        </row>
        <row r="1034">
          <cell r="F1034">
            <v>618.67999999999995</v>
          </cell>
        </row>
        <row r="1035">
          <cell r="F1035">
            <v>370.85</v>
          </cell>
        </row>
        <row r="1036">
          <cell r="F1036">
            <v>517.98</v>
          </cell>
        </row>
        <row r="1037">
          <cell r="F1037">
            <v>506.11</v>
          </cell>
        </row>
        <row r="1038">
          <cell r="F1038">
            <v>413.83</v>
          </cell>
        </row>
        <row r="1039">
          <cell r="F1039">
            <v>249.81</v>
          </cell>
        </row>
        <row r="1040">
          <cell r="F1040">
            <v>362.53</v>
          </cell>
        </row>
        <row r="1041">
          <cell r="F1041">
            <v>299.23</v>
          </cell>
        </row>
        <row r="1042">
          <cell r="F1042">
            <v>536.07000000000005</v>
          </cell>
        </row>
        <row r="1043">
          <cell r="F1043">
            <v>558.9</v>
          </cell>
        </row>
        <row r="1044">
          <cell r="F1044">
            <v>409.75</v>
          </cell>
        </row>
        <row r="1045">
          <cell r="F1045">
            <v>179.96</v>
          </cell>
        </row>
        <row r="1046">
          <cell r="F1046">
            <v>38.49</v>
          </cell>
        </row>
        <row r="1047">
          <cell r="F1047">
            <v>316.39999999999998</v>
          </cell>
        </row>
        <row r="1048">
          <cell r="F1048">
            <v>547.15</v>
          </cell>
        </row>
        <row r="1049">
          <cell r="F1049">
            <v>540.34</v>
          </cell>
        </row>
        <row r="1050">
          <cell r="F1050">
            <v>73.650000000000006</v>
          </cell>
        </row>
        <row r="1051">
          <cell r="F1051">
            <v>391.86</v>
          </cell>
        </row>
        <row r="1052">
          <cell r="F1052">
            <v>69.7</v>
          </cell>
        </row>
        <row r="1053">
          <cell r="F1053">
            <v>26.43</v>
          </cell>
        </row>
        <row r="1054">
          <cell r="F1054">
            <v>531.74</v>
          </cell>
        </row>
        <row r="1055">
          <cell r="F1055">
            <v>496.62</v>
          </cell>
        </row>
        <row r="1056">
          <cell r="F1056">
            <v>660.66</v>
          </cell>
        </row>
        <row r="1057">
          <cell r="F1057">
            <v>274.82</v>
          </cell>
        </row>
        <row r="1058">
          <cell r="F1058">
            <v>486.35</v>
          </cell>
        </row>
        <row r="1059">
          <cell r="F1059">
            <v>428.88</v>
          </cell>
        </row>
        <row r="1060">
          <cell r="F1060">
            <v>412.14</v>
          </cell>
        </row>
        <row r="1061">
          <cell r="F1061">
            <v>265.64</v>
          </cell>
        </row>
        <row r="1062">
          <cell r="F1062">
            <v>273.43</v>
          </cell>
        </row>
        <row r="1063">
          <cell r="F1063">
            <v>131.69999999999999</v>
          </cell>
        </row>
        <row r="1064">
          <cell r="F1064">
            <v>85.52</v>
          </cell>
        </row>
        <row r="1065">
          <cell r="F1065">
            <v>320.68</v>
          </cell>
        </row>
        <row r="1066">
          <cell r="F1066">
            <v>198.81</v>
          </cell>
        </row>
        <row r="1067">
          <cell r="F1067">
            <v>666.8</v>
          </cell>
        </row>
        <row r="1068">
          <cell r="F1068">
            <v>355.09</v>
          </cell>
        </row>
        <row r="1069">
          <cell r="F1069">
            <v>316.2</v>
          </cell>
        </row>
        <row r="1070">
          <cell r="F1070">
            <v>133.38999999999999</v>
          </cell>
        </row>
        <row r="1071">
          <cell r="F1071">
            <v>454.23</v>
          </cell>
        </row>
        <row r="1072">
          <cell r="F1072">
            <v>491.29</v>
          </cell>
        </row>
        <row r="1073">
          <cell r="F1073">
            <v>255.14</v>
          </cell>
        </row>
        <row r="1074">
          <cell r="F1074">
            <v>392.61</v>
          </cell>
        </row>
        <row r="1075">
          <cell r="F1075">
            <v>362.06</v>
          </cell>
        </row>
        <row r="1076">
          <cell r="F1076">
            <v>222.73</v>
          </cell>
        </row>
        <row r="1077">
          <cell r="F1077">
            <v>552.63</v>
          </cell>
        </row>
        <row r="1078">
          <cell r="F1078">
            <v>686.61</v>
          </cell>
        </row>
        <row r="1079">
          <cell r="F1079">
            <v>305.16000000000003</v>
          </cell>
        </row>
        <row r="1080">
          <cell r="F1080">
            <v>41.09</v>
          </cell>
        </row>
        <row r="1081">
          <cell r="F1081">
            <v>634</v>
          </cell>
        </row>
        <row r="1082">
          <cell r="F1082">
            <v>464.74</v>
          </cell>
        </row>
        <row r="1083">
          <cell r="F1083">
            <v>425.6</v>
          </cell>
        </row>
        <row r="1084">
          <cell r="F1084">
            <v>573.22</v>
          </cell>
        </row>
        <row r="1085">
          <cell r="F1085">
            <v>123.28</v>
          </cell>
        </row>
        <row r="1086">
          <cell r="F1086">
            <v>70.819999999999993</v>
          </cell>
        </row>
        <row r="1087">
          <cell r="F1087">
            <v>646.69000000000005</v>
          </cell>
        </row>
        <row r="1088">
          <cell r="F1088">
            <v>513.41999999999996</v>
          </cell>
        </row>
        <row r="1089">
          <cell r="F1089">
            <v>693.07</v>
          </cell>
        </row>
        <row r="1090">
          <cell r="F1090">
            <v>491.43</v>
          </cell>
        </row>
        <row r="1091">
          <cell r="F1091">
            <v>599.74</v>
          </cell>
        </row>
        <row r="1092">
          <cell r="F1092">
            <v>650.25</v>
          </cell>
        </row>
        <row r="1093">
          <cell r="F1093">
            <v>209.48</v>
          </cell>
        </row>
        <row r="1094">
          <cell r="F1094">
            <v>209.2</v>
          </cell>
        </row>
        <row r="1095">
          <cell r="F1095">
            <v>197.36</v>
          </cell>
        </row>
        <row r="1096">
          <cell r="F1096">
            <v>648.91</v>
          </cell>
        </row>
        <row r="1097">
          <cell r="F1097">
            <v>441.54</v>
          </cell>
        </row>
        <row r="1098">
          <cell r="F1098">
            <v>464.92</v>
          </cell>
        </row>
        <row r="1099">
          <cell r="F1099">
            <v>506.45</v>
          </cell>
        </row>
        <row r="1100">
          <cell r="F1100">
            <v>255.86</v>
          </cell>
        </row>
        <row r="1101">
          <cell r="F1101">
            <v>125.23</v>
          </cell>
        </row>
        <row r="1102">
          <cell r="F1102">
            <v>38.11</v>
          </cell>
        </row>
        <row r="1103">
          <cell r="F1103">
            <v>161.97</v>
          </cell>
        </row>
        <row r="1104">
          <cell r="F1104">
            <v>347.17</v>
          </cell>
        </row>
        <row r="1105">
          <cell r="F1105">
            <v>276.32</v>
          </cell>
        </row>
        <row r="1106">
          <cell r="F1106">
            <v>314.76</v>
          </cell>
        </row>
        <row r="1107">
          <cell r="F1107">
            <v>475.69</v>
          </cell>
        </row>
        <row r="1108">
          <cell r="F1108">
            <v>372.8</v>
          </cell>
        </row>
        <row r="1109">
          <cell r="F1109">
            <v>63.21</v>
          </cell>
        </row>
        <row r="1110">
          <cell r="F1110">
            <v>634.94000000000005</v>
          </cell>
        </row>
        <row r="1111">
          <cell r="F1111">
            <v>77.47</v>
          </cell>
        </row>
        <row r="1112">
          <cell r="F1112">
            <v>84.31</v>
          </cell>
        </row>
        <row r="1113">
          <cell r="F1113">
            <v>234.45</v>
          </cell>
        </row>
        <row r="1114">
          <cell r="F1114">
            <v>356.81</v>
          </cell>
        </row>
        <row r="1115">
          <cell r="F1115">
            <v>209.99</v>
          </cell>
        </row>
        <row r="1116">
          <cell r="F1116">
            <v>659.88</v>
          </cell>
        </row>
        <row r="1117">
          <cell r="F1117">
            <v>336.32</v>
          </cell>
        </row>
        <row r="1118">
          <cell r="F1118">
            <v>531.49</v>
          </cell>
        </row>
        <row r="1119">
          <cell r="F1119">
            <v>588.44000000000005</v>
          </cell>
        </row>
        <row r="1120">
          <cell r="F1120">
            <v>251.48</v>
          </cell>
        </row>
        <row r="1121">
          <cell r="F1121">
            <v>684.65</v>
          </cell>
        </row>
        <row r="1122">
          <cell r="F1122">
            <v>195.86</v>
          </cell>
        </row>
        <row r="1123">
          <cell r="F1123">
            <v>50.34</v>
          </cell>
        </row>
        <row r="1124">
          <cell r="F1124">
            <v>678.19</v>
          </cell>
        </row>
        <row r="1125">
          <cell r="F1125">
            <v>554.25</v>
          </cell>
        </row>
        <row r="1126">
          <cell r="F1126">
            <v>576.87</v>
          </cell>
        </row>
        <row r="1127">
          <cell r="F1127">
            <v>408.36</v>
          </cell>
        </row>
        <row r="1128">
          <cell r="F1128">
            <v>190.11</v>
          </cell>
        </row>
        <row r="1129">
          <cell r="F1129">
            <v>602.75</v>
          </cell>
        </row>
        <row r="1130">
          <cell r="F1130">
            <v>646.79</v>
          </cell>
        </row>
        <row r="1131">
          <cell r="F1131">
            <v>418.71</v>
          </cell>
        </row>
        <row r="1132">
          <cell r="F1132">
            <v>323.45</v>
          </cell>
        </row>
        <row r="1133">
          <cell r="F1133">
            <v>694.5</v>
          </cell>
        </row>
        <row r="1134">
          <cell r="F1134">
            <v>337.32</v>
          </cell>
        </row>
        <row r="1135">
          <cell r="F1135">
            <v>467.91</v>
          </cell>
        </row>
        <row r="1136">
          <cell r="F1136">
            <v>38.28</v>
          </cell>
        </row>
        <row r="1137">
          <cell r="F1137">
            <v>73.41</v>
          </cell>
        </row>
        <row r="1138">
          <cell r="F1138">
            <v>668.33</v>
          </cell>
        </row>
        <row r="1139">
          <cell r="F1139">
            <v>410.21</v>
          </cell>
        </row>
        <row r="1140">
          <cell r="F1140">
            <v>294.41000000000003</v>
          </cell>
        </row>
        <row r="1141">
          <cell r="F1141">
            <v>501.82</v>
          </cell>
        </row>
        <row r="1142">
          <cell r="F1142">
            <v>552.83000000000004</v>
          </cell>
        </row>
        <row r="1143">
          <cell r="F1143">
            <v>498.66</v>
          </cell>
        </row>
        <row r="1144">
          <cell r="F1144">
            <v>695.1</v>
          </cell>
        </row>
        <row r="1145">
          <cell r="F1145">
            <v>381.61</v>
          </cell>
        </row>
        <row r="1146">
          <cell r="F1146">
            <v>507.94</v>
          </cell>
        </row>
        <row r="1147">
          <cell r="F1147">
            <v>571.53</v>
          </cell>
        </row>
        <row r="1148">
          <cell r="F1148">
            <v>421.44</v>
          </cell>
        </row>
        <row r="1149">
          <cell r="F1149">
            <v>588.29999999999995</v>
          </cell>
        </row>
        <row r="1150">
          <cell r="F1150">
            <v>355.15</v>
          </cell>
        </row>
        <row r="1151">
          <cell r="F1151">
            <v>695.29</v>
          </cell>
        </row>
        <row r="1152">
          <cell r="F1152">
            <v>302.64999999999998</v>
          </cell>
        </row>
        <row r="1153">
          <cell r="F1153">
            <v>608.04</v>
          </cell>
        </row>
        <row r="1154">
          <cell r="F1154">
            <v>344.18</v>
          </cell>
        </row>
        <row r="1155">
          <cell r="F1155">
            <v>696.71</v>
          </cell>
        </row>
        <row r="1156">
          <cell r="F1156">
            <v>198.63</v>
          </cell>
        </row>
        <row r="1157">
          <cell r="F1157">
            <v>534.57000000000005</v>
          </cell>
        </row>
        <row r="1158">
          <cell r="F1158">
            <v>690.78</v>
          </cell>
        </row>
        <row r="1159">
          <cell r="F1159">
            <v>301.55</v>
          </cell>
        </row>
        <row r="1160">
          <cell r="F1160">
            <v>27.42</v>
          </cell>
        </row>
        <row r="1161">
          <cell r="F1161">
            <v>466.7</v>
          </cell>
        </row>
        <row r="1162">
          <cell r="F1162">
            <v>541.64</v>
          </cell>
        </row>
        <row r="1163">
          <cell r="F1163">
            <v>11.39</v>
          </cell>
        </row>
        <row r="1164">
          <cell r="F1164">
            <v>224.37</v>
          </cell>
        </row>
        <row r="1165">
          <cell r="F1165">
            <v>306.29000000000002</v>
          </cell>
        </row>
        <row r="1166">
          <cell r="F1166">
            <v>315.57</v>
          </cell>
        </row>
        <row r="1167">
          <cell r="F1167">
            <v>223.79</v>
          </cell>
        </row>
        <row r="1168">
          <cell r="F1168">
            <v>324.47000000000003</v>
          </cell>
        </row>
        <row r="1169">
          <cell r="F1169">
            <v>92.87</v>
          </cell>
        </row>
        <row r="1170">
          <cell r="F1170">
            <v>331.42</v>
          </cell>
        </row>
        <row r="1171">
          <cell r="F1171">
            <v>525.42999999999995</v>
          </cell>
        </row>
        <row r="1172">
          <cell r="F1172">
            <v>697.19</v>
          </cell>
        </row>
        <row r="1173">
          <cell r="F1173">
            <v>518.4</v>
          </cell>
        </row>
        <row r="1174">
          <cell r="F1174">
            <v>131.96</v>
          </cell>
        </row>
        <row r="1175">
          <cell r="F1175">
            <v>208.36</v>
          </cell>
        </row>
        <row r="1176">
          <cell r="F1176">
            <v>222.34</v>
          </cell>
        </row>
        <row r="1177">
          <cell r="F1177">
            <v>91.74</v>
          </cell>
        </row>
        <row r="1178">
          <cell r="F1178">
            <v>213.83</v>
          </cell>
        </row>
        <row r="1179">
          <cell r="F1179">
            <v>127.55</v>
          </cell>
        </row>
        <row r="1180">
          <cell r="F1180">
            <v>70.239999999999995</v>
          </cell>
        </row>
        <row r="1181">
          <cell r="F1181">
            <v>518.54999999999995</v>
          </cell>
        </row>
        <row r="1182">
          <cell r="F1182">
            <v>298.36</v>
          </cell>
        </row>
        <row r="1183">
          <cell r="F1183">
            <v>158.74</v>
          </cell>
        </row>
        <row r="1184">
          <cell r="F1184">
            <v>420.29</v>
          </cell>
        </row>
        <row r="1185">
          <cell r="F1185">
            <v>281.52</v>
          </cell>
        </row>
        <row r="1186">
          <cell r="F1186">
            <v>204.08</v>
          </cell>
        </row>
        <row r="1187">
          <cell r="F1187">
            <v>343.31</v>
          </cell>
        </row>
        <row r="1188">
          <cell r="F1188">
            <v>163.32</v>
          </cell>
        </row>
        <row r="1189">
          <cell r="F1189">
            <v>184.6</v>
          </cell>
        </row>
        <row r="1190">
          <cell r="F1190">
            <v>371.29</v>
          </cell>
        </row>
        <row r="1191">
          <cell r="F1191">
            <v>389.22</v>
          </cell>
        </row>
        <row r="1192">
          <cell r="F1192">
            <v>616.39</v>
          </cell>
        </row>
        <row r="1193">
          <cell r="F1193">
            <v>376.43</v>
          </cell>
        </row>
        <row r="1194">
          <cell r="F1194">
            <v>432.85</v>
          </cell>
        </row>
        <row r="1195">
          <cell r="F1195">
            <v>687.89</v>
          </cell>
        </row>
        <row r="1196">
          <cell r="F1196">
            <v>189.44</v>
          </cell>
        </row>
        <row r="1197">
          <cell r="F1197">
            <v>107.04</v>
          </cell>
        </row>
        <row r="1198">
          <cell r="F1198">
            <v>662.53</v>
          </cell>
        </row>
        <row r="1199">
          <cell r="F1199">
            <v>436.84</v>
          </cell>
        </row>
        <row r="1200">
          <cell r="F1200">
            <v>262.52</v>
          </cell>
        </row>
        <row r="1201">
          <cell r="F1201">
            <v>560.58000000000004</v>
          </cell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91972/Documents/Downloads/E-Commerce%20Sales%20Data%20Processing%20Using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TYAGI" refreshedDate="46188.882613078706" createdVersion="8" refreshedVersion="8" minRefreshableVersion="3" recordCount="1200" xr:uid="{D4F57479-6712-4350-9DE9-51396371D155}">
  <cacheSource type="worksheet">
    <worksheetSource name="Sheet1" r:id="rId2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s v="Phone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s v="Tablet"/>
    <n v="5"/>
    <n v="550.67999999999995"/>
    <s v="512 Main St"/>
    <x v="2"/>
    <x v="1"/>
    <s v="TRK42903982"/>
    <n v="8"/>
    <s v="FREESHIP"/>
    <x v="2"/>
    <n v="2753.3999999999996"/>
  </r>
  <r>
    <s v="ORD200003"/>
    <d v="2023-10-15T00:00:00"/>
    <s v="C33540"/>
    <s v="Chair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s v="Printer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s v="Phone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s v="Laptop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s v="Monitor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s v="Phone"/>
    <n v="2"/>
    <n v="134.28"/>
    <s v="904 Main St"/>
    <x v="3"/>
    <x v="1"/>
    <s v="TRK61042692"/>
    <n v="2"/>
    <s v="NO COUPON"/>
    <x v="2"/>
    <n v="268.56"/>
  </r>
  <r>
    <s v="ORD200009"/>
    <d v="2023-11-21T00:00:00"/>
    <s v="C31946"/>
    <s v="Desk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s v="Tablet"/>
    <n v="5"/>
    <n v="625.97"/>
    <s v="333 Main St"/>
    <x v="2"/>
    <x v="2"/>
    <s v="TRK98859248"/>
    <n v="9"/>
    <s v="WINTER15"/>
    <x v="0"/>
    <n v="3129.8500000000004"/>
  </r>
  <r>
    <s v="ORD200011"/>
    <d v="2024-02-17T00:00:00"/>
    <s v="C93861"/>
    <s v="Monitor"/>
    <n v="3"/>
    <n v="49.14"/>
    <s v="831 Main St"/>
    <x v="1"/>
    <x v="2"/>
    <s v="TRK48234646"/>
    <n v="7"/>
    <s v="SAVE10"/>
    <x v="2"/>
    <n v="147.42000000000002"/>
  </r>
  <r>
    <s v="ORD200012"/>
    <d v="2024-10-15T00:00:00"/>
    <s v="C38785"/>
    <s v="Monitor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s v="Laptop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s v="Tablet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s v="Printer"/>
    <n v="1"/>
    <n v="473.96"/>
    <s v="942 Main St"/>
    <x v="4"/>
    <x v="3"/>
    <s v="TRK54930938"/>
    <n v="3"/>
    <s v="NO COUPON"/>
    <x v="4"/>
    <n v="473.96"/>
  </r>
  <r>
    <s v="ORD200016"/>
    <d v="2023-01-24T00:00:00"/>
    <s v="C28976"/>
    <s v="Printer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s v="Tablet"/>
    <n v="1"/>
    <n v="423.4"/>
    <s v="382 Main St"/>
    <x v="0"/>
    <x v="0"/>
    <s v="TRK11972116"/>
    <n v="3"/>
    <s v="NO COUPON"/>
    <x v="1"/>
    <n v="423.4"/>
  </r>
  <r>
    <s v="ORD200018"/>
    <d v="2025-03-26T00:00:00"/>
    <s v="C84329"/>
    <s v="Desk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s v="Monitor"/>
    <n v="5"/>
    <n v="224"/>
    <s v="273 Main St"/>
    <x v="4"/>
    <x v="2"/>
    <s v="TRK59101365"/>
    <n v="9"/>
    <s v="SAVE10"/>
    <x v="4"/>
    <n v="1120"/>
  </r>
  <r>
    <s v="ORD200020"/>
    <d v="2023-05-08T00:00:00"/>
    <s v="C54829"/>
    <s v="Chair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s v="Monitor"/>
    <n v="4"/>
    <n v="342.95"/>
    <s v="569 Main St"/>
    <x v="4"/>
    <x v="3"/>
    <s v="TRK52646983"/>
    <n v="6"/>
    <s v="NO COUPON"/>
    <x v="4"/>
    <n v="1371.8"/>
  </r>
  <r>
    <s v="ORD200022"/>
    <d v="2023-01-29T00:00:00"/>
    <s v="C34416"/>
    <s v="Monitor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s v="Phone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s v="Laptop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s v="Monitor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s v="Laptop"/>
    <n v="5"/>
    <n v="59.55"/>
    <s v="296 Main St"/>
    <x v="1"/>
    <x v="3"/>
    <s v="TRK80276812"/>
    <n v="6"/>
    <s v="NO COUPON"/>
    <x v="1"/>
    <n v="297.75"/>
  </r>
  <r>
    <s v="ORD200027"/>
    <d v="2024-02-22T00:00:00"/>
    <s v="C97593"/>
    <s v="Printer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s v="Phone"/>
    <n v="4"/>
    <n v="160.07"/>
    <s v="568 Main St"/>
    <x v="1"/>
    <x v="4"/>
    <s v="TRK65895539"/>
    <n v="5"/>
    <s v="NO COUPON"/>
    <x v="2"/>
    <n v="640.28"/>
  </r>
  <r>
    <s v="ORD200029"/>
    <d v="2024-09-20T00:00:00"/>
    <s v="C33260"/>
    <s v="Desk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s v="Monitor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s v="Chair"/>
    <n v="3"/>
    <n v="500.08"/>
    <s v="996 Main St"/>
    <x v="0"/>
    <x v="2"/>
    <s v="TRK31229981"/>
    <n v="6"/>
    <s v="NO COUPON"/>
    <x v="3"/>
    <n v="1500.24"/>
  </r>
  <r>
    <s v="ORD200032"/>
    <d v="2023-05-01T00:00:00"/>
    <s v="C12388"/>
    <s v="Tablet"/>
    <n v="5"/>
    <n v="536.72"/>
    <s v="830 Main St"/>
    <x v="4"/>
    <x v="3"/>
    <s v="TRK99261395"/>
    <n v="10"/>
    <s v="NO COUPON"/>
    <x v="2"/>
    <n v="2683.6000000000004"/>
  </r>
  <r>
    <s v="ORD200033"/>
    <d v="2023-06-05T00:00:00"/>
    <s v="C52184"/>
    <s v="Chair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s v="Chair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s v="Monitor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s v="Laptop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s v="C10054"/>
    <s v="Laptop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s v="Laptop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s v="Printer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s v="Desk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s v="Monitor"/>
    <n v="3"/>
    <n v="611.45000000000005"/>
    <s v="657 Main St"/>
    <x v="3"/>
    <x v="4"/>
    <s v="TRK69733327"/>
    <n v="4"/>
    <s v="FREESHIP"/>
    <x v="0"/>
    <n v="1834.3500000000001"/>
  </r>
  <r>
    <s v="ORD200042"/>
    <d v="2024-05-06T00:00:00"/>
    <s v="C28712"/>
    <s v="Printer"/>
    <n v="2"/>
    <n v="151.66"/>
    <s v="980 Main St"/>
    <x v="4"/>
    <x v="1"/>
    <s v="TRK40772558"/>
    <n v="6"/>
    <s v="NO COUPON"/>
    <x v="0"/>
    <n v="303.32"/>
  </r>
  <r>
    <s v="ORD200043"/>
    <d v="2023-12-14T00:00:00"/>
    <s v="C60572"/>
    <s v="Chair"/>
    <n v="3"/>
    <n v="499.21"/>
    <s v="871 Main St"/>
    <x v="1"/>
    <x v="1"/>
    <s v="TRK20351666"/>
    <n v="8"/>
    <s v="NO COUPON"/>
    <x v="0"/>
    <n v="1497.6299999999999"/>
  </r>
  <r>
    <s v="ORD200044"/>
    <d v="2025-04-21T00:00:00"/>
    <s v="C73225"/>
    <s v="Phone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s v="Chair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s v="Monitor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s v="Desk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s v="Monitor"/>
    <n v="2"/>
    <n v="80.77"/>
    <s v="464 Main St"/>
    <x v="0"/>
    <x v="0"/>
    <s v="TRK38938858"/>
    <n v="4"/>
    <s v="NO COUPON"/>
    <x v="4"/>
    <n v="161.54"/>
  </r>
  <r>
    <s v="ORD200049"/>
    <d v="2023-10-07T00:00:00"/>
    <s v="C11985"/>
    <s v="Printer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s v="Tablet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s v="Tablet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s v="Tablet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s v="Phone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s v="Chair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s v="Printer"/>
    <n v="3"/>
    <n v="344.4"/>
    <s v="565 Main St"/>
    <x v="1"/>
    <x v="1"/>
    <s v="TRK67434829"/>
    <n v="3"/>
    <s v="NO COUPON"/>
    <x v="3"/>
    <n v="1033.1999999999998"/>
  </r>
  <r>
    <s v="ORD200056"/>
    <d v="2023-05-21T00:00:00"/>
    <s v="C54298"/>
    <s v="Tablet"/>
    <n v="3"/>
    <n v="479.21"/>
    <s v="566 Main St"/>
    <x v="4"/>
    <x v="1"/>
    <s v="TRK62902341"/>
    <n v="5"/>
    <s v="WINTER15"/>
    <x v="1"/>
    <n v="1437.6299999999999"/>
  </r>
  <r>
    <s v="ORD200057"/>
    <d v="2023-01-22T00:00:00"/>
    <s v="C88036"/>
    <s v="Printer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s v="Phone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s v="Chair"/>
    <n v="4"/>
    <n v="593.27"/>
    <s v="811 Main St"/>
    <x v="1"/>
    <x v="0"/>
    <s v="TRK47055028"/>
    <n v="5"/>
    <s v="NO COUPON"/>
    <x v="3"/>
    <n v="2373.08"/>
  </r>
  <r>
    <s v="ORD200060"/>
    <d v="2024-08-21T00:00:00"/>
    <s v="C39256"/>
    <s v="Desk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s v="Desk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s v="Desk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s v="Chair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s v="Printer"/>
    <n v="3"/>
    <n v="130.61000000000001"/>
    <s v="752 Main St"/>
    <x v="0"/>
    <x v="1"/>
    <s v="TRK55785217"/>
    <n v="4"/>
    <s v="FREESHIP"/>
    <x v="3"/>
    <n v="391.83000000000004"/>
  </r>
  <r>
    <s v="ORD200065"/>
    <d v="2023-12-30T00:00:00"/>
    <s v="C97735"/>
    <s v="Monitor"/>
    <n v="5"/>
    <n v="81.7"/>
    <s v="385 Main St"/>
    <x v="2"/>
    <x v="3"/>
    <s v="TRK13743703"/>
    <n v="6"/>
    <s v="NO COUPON"/>
    <x v="0"/>
    <n v="408.5"/>
  </r>
  <r>
    <s v="ORD200066"/>
    <d v="2024-11-15T00:00:00"/>
    <s v="C18104"/>
    <s v="Chair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s v="Printer"/>
    <n v="4"/>
    <n v="12.1"/>
    <s v="440 Main St"/>
    <x v="0"/>
    <x v="1"/>
    <s v="TRK55105323"/>
    <n v="8"/>
    <s v="NO COUPON"/>
    <x v="4"/>
    <n v="48.4"/>
  </r>
  <r>
    <s v="ORD200068"/>
    <d v="2023-12-11T00:00:00"/>
    <s v="C41598"/>
    <s v="Chair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s v="Monitor"/>
    <n v="3"/>
    <n v="478.65"/>
    <s v="552 Main St"/>
    <x v="1"/>
    <x v="0"/>
    <s v="TRK35241775"/>
    <n v="4"/>
    <s v="NO COUPON"/>
    <x v="1"/>
    <n v="1435.9499999999998"/>
  </r>
  <r>
    <s v="ORD200070"/>
    <d v="2023-05-26T00:00:00"/>
    <s v="C25123"/>
    <s v="Desk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s v="Monitor"/>
    <n v="3"/>
    <n v="434.45"/>
    <s v="923 Main St"/>
    <x v="2"/>
    <x v="4"/>
    <s v="TRK28252730"/>
    <n v="4"/>
    <s v="NO COUPON"/>
    <x v="1"/>
    <n v="1303.3499999999999"/>
  </r>
  <r>
    <s v="ORD200072"/>
    <d v="2024-12-22T00:00:00"/>
    <s v="C19451"/>
    <s v="Tablet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s v="C17269"/>
    <s v="Monitor"/>
    <n v="4"/>
    <n v="433.45"/>
    <s v="129 Main St"/>
    <x v="3"/>
    <x v="1"/>
    <s v="TRK79608389"/>
    <n v="4"/>
    <s v="NO COUPON"/>
    <x v="3"/>
    <n v="1733.8"/>
  </r>
  <r>
    <s v="ORD200074"/>
    <d v="2023-06-24T00:00:00"/>
    <s v="C25382"/>
    <s v="Phone"/>
    <n v="5"/>
    <n v="90.87"/>
    <s v="622 Main St"/>
    <x v="4"/>
    <x v="4"/>
    <s v="TRK64691287"/>
    <n v="5"/>
    <s v="NO COUPON"/>
    <x v="0"/>
    <n v="454.35"/>
  </r>
  <r>
    <s v="ORD200075"/>
    <d v="2023-09-26T00:00:00"/>
    <s v="C80651"/>
    <s v="Tablet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s v="Laptop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s v="Phone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s v="C32029"/>
    <s v="Printer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s v="Tablet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s v="C29041"/>
    <s v="Phone"/>
    <n v="3"/>
    <n v="589.55999999999995"/>
    <s v="591 Main St"/>
    <x v="1"/>
    <x v="2"/>
    <s v="TRK28840655"/>
    <n v="6"/>
    <s v="NO COUPON"/>
    <x v="3"/>
    <n v="1768.6799999999998"/>
  </r>
  <r>
    <s v="ORD200081"/>
    <d v="2023-06-08T00:00:00"/>
    <s v="C29314"/>
    <s v="Monitor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s v="Tablet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s v="Laptop"/>
    <n v="4"/>
    <n v="540.41"/>
    <s v="989 Main St"/>
    <x v="2"/>
    <x v="1"/>
    <s v="TRK75112172"/>
    <n v="6"/>
    <s v="NO COUPON"/>
    <x v="1"/>
    <n v="2161.64"/>
  </r>
  <r>
    <s v="ORD200084"/>
    <d v="2023-08-28T00:00:00"/>
    <s v="C64160"/>
    <s v="Monitor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s v="Tablet"/>
    <n v="3"/>
    <n v="146.72999999999999"/>
    <s v="768 Main St"/>
    <x v="4"/>
    <x v="3"/>
    <s v="TRK93538334"/>
    <n v="8"/>
    <s v="FREESHIP"/>
    <x v="2"/>
    <n v="440.18999999999994"/>
  </r>
  <r>
    <s v="ORD200086"/>
    <d v="2024-06-19T00:00:00"/>
    <s v="C88205"/>
    <s v="Printer"/>
    <n v="5"/>
    <n v="643.03"/>
    <s v="447 Main St"/>
    <x v="1"/>
    <x v="1"/>
    <s v="TRK93504166"/>
    <n v="5"/>
    <s v="FREESHIP"/>
    <x v="1"/>
    <n v="3215.1499999999996"/>
  </r>
  <r>
    <s v="ORD200087"/>
    <d v="2024-10-10T00:00:00"/>
    <s v="C91245"/>
    <s v="Tablet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s v="Desk"/>
    <n v="3"/>
    <n v="114.81"/>
    <s v="318 Main St"/>
    <x v="3"/>
    <x v="1"/>
    <s v="TRK19831653"/>
    <n v="7"/>
    <s v="NO COUPON"/>
    <x v="4"/>
    <n v="344.43"/>
  </r>
  <r>
    <s v="ORD200089"/>
    <d v="2025-02-25T00:00:00"/>
    <s v="C17181"/>
    <s v="Printer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s v="Chair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s v="Laptop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s v="Printer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s v="Desk"/>
    <n v="4"/>
    <n v="431.01"/>
    <s v="837 Main St"/>
    <x v="2"/>
    <x v="2"/>
    <s v="TRK65990229"/>
    <n v="7"/>
    <s v="NO COUPON"/>
    <x v="1"/>
    <n v="1724.04"/>
  </r>
  <r>
    <s v="ORD200094"/>
    <d v="2023-02-11T00:00:00"/>
    <s v="C79821"/>
    <s v="Chair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s v="Printer"/>
    <n v="4"/>
    <n v="117.51"/>
    <s v="839 Main St"/>
    <x v="0"/>
    <x v="2"/>
    <s v="TRK60179774"/>
    <n v="7"/>
    <s v="NO COUPON"/>
    <x v="1"/>
    <n v="470.04"/>
  </r>
  <r>
    <s v="ORD200096"/>
    <d v="2024-06-01T00:00:00"/>
    <s v="C93007"/>
    <s v="Phone"/>
    <n v="2"/>
    <n v="232.83"/>
    <s v="103 Main St"/>
    <x v="3"/>
    <x v="3"/>
    <s v="TRK85696091"/>
    <n v="7"/>
    <s v="NO COUPON"/>
    <x v="0"/>
    <n v="465.66"/>
  </r>
  <r>
    <s v="ORD200097"/>
    <d v="2025-01-21T00:00:00"/>
    <s v="C15624"/>
    <s v="Tablet"/>
    <n v="5"/>
    <n v="619.52"/>
    <s v="922 Main St"/>
    <x v="0"/>
    <x v="4"/>
    <s v="TRK40621141"/>
    <n v="9"/>
    <s v="NO COUPON"/>
    <x v="2"/>
    <n v="3097.6"/>
  </r>
  <r>
    <s v="ORD200098"/>
    <d v="2023-01-14T00:00:00"/>
    <s v="C70921"/>
    <s v="Printer"/>
    <n v="2"/>
    <n v="228.54"/>
    <s v="533 Main St"/>
    <x v="0"/>
    <x v="4"/>
    <s v="TRK54983109"/>
    <n v="3"/>
    <s v="NO COUPON"/>
    <x v="2"/>
    <n v="457.08"/>
  </r>
  <r>
    <s v="ORD200099"/>
    <d v="2025-04-12T00:00:00"/>
    <s v="C30477"/>
    <s v="Printer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s v="Phone"/>
    <n v="3"/>
    <n v="664.79"/>
    <s v="743 Main St"/>
    <x v="1"/>
    <x v="3"/>
    <s v="TRK53783265"/>
    <n v="6"/>
    <s v="NO COUPON"/>
    <x v="3"/>
    <n v="1994.37"/>
  </r>
  <r>
    <s v="ORD200101"/>
    <d v="2023-11-25T00:00:00"/>
    <s v="C15283"/>
    <s v="Printer"/>
    <n v="1"/>
    <n v="381.02"/>
    <s v="152 Main St"/>
    <x v="4"/>
    <x v="0"/>
    <s v="TRK19286291"/>
    <n v="6"/>
    <s v="NO COUPON"/>
    <x v="4"/>
    <n v="381.02"/>
  </r>
  <r>
    <s v="ORD200102"/>
    <d v="2023-03-08T00:00:00"/>
    <s v="C18037"/>
    <s v="Laptop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s v="Phone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s v="Phone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s v="Printer"/>
    <n v="3"/>
    <n v="185.4"/>
    <s v="810 Main St"/>
    <x v="3"/>
    <x v="1"/>
    <s v="TRK68792129"/>
    <n v="7"/>
    <s v="NO COUPON"/>
    <x v="3"/>
    <n v="556.20000000000005"/>
  </r>
  <r>
    <s v="ORD200106"/>
    <d v="2023-09-08T00:00:00"/>
    <s v="C73514"/>
    <s v="Desk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s v="Printer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s v="Laptop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s v="Desk"/>
    <n v="3"/>
    <n v="592.87"/>
    <s v="131 Main St"/>
    <x v="3"/>
    <x v="0"/>
    <s v="TRK18674578"/>
    <n v="3"/>
    <s v="FREESHIP"/>
    <x v="1"/>
    <n v="1778.6100000000001"/>
  </r>
  <r>
    <s v="ORD200110"/>
    <d v="2024-04-21T00:00:00"/>
    <s v="C74562"/>
    <s v="Tablet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s v="Desk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s v="Monitor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s v="Laptop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s v="Monitor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s v="Phone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s v="Printer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s v="Tablet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s v="Printer"/>
    <n v="5"/>
    <n v="502.71"/>
    <s v="807 Main St"/>
    <x v="3"/>
    <x v="0"/>
    <s v="TRK61957665"/>
    <n v="7"/>
    <s v="FREESHIP"/>
    <x v="4"/>
    <n v="2513.5499999999997"/>
  </r>
  <r>
    <s v="ORD200119"/>
    <d v="2025-06-11T00:00:00"/>
    <s v="C14683"/>
    <s v="Desk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s v="Tablet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s v="Desk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s v="Laptop"/>
    <n v="2"/>
    <n v="533.02"/>
    <s v="588 Main St"/>
    <x v="3"/>
    <x v="0"/>
    <s v="TRK30422853"/>
    <n v="2"/>
    <s v="NO COUPON"/>
    <x v="3"/>
    <n v="1066.04"/>
  </r>
  <r>
    <s v="ORD200123"/>
    <d v="2023-07-06T00:00:00"/>
    <s v="C86064"/>
    <s v="Desk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s v="C97148"/>
    <s v="Printer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s v="C91099"/>
    <s v="Phone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s v="Desk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s v="Desk"/>
    <n v="3"/>
    <n v="469.32"/>
    <s v="365 Main St"/>
    <x v="0"/>
    <x v="0"/>
    <s v="TRK73929833"/>
    <n v="3"/>
    <s v="NO COUPON"/>
    <x v="4"/>
    <n v="1407.96"/>
  </r>
  <r>
    <s v="ORD200128"/>
    <d v="2023-02-17T00:00:00"/>
    <s v="C86408"/>
    <s v="Tablet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s v="Laptop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s v="Desk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s v="Tablet"/>
    <n v="1"/>
    <n v="84.8"/>
    <s v="606 Main St"/>
    <x v="3"/>
    <x v="4"/>
    <s v="TRK51648833"/>
    <n v="5"/>
    <s v="NO COUPON"/>
    <x v="0"/>
    <n v="84.8"/>
  </r>
  <r>
    <s v="ORD200132"/>
    <d v="2023-03-28T00:00:00"/>
    <s v="C96257"/>
    <s v="Tablet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s v="Chair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s v="Laptop"/>
    <n v="2"/>
    <n v="199.7"/>
    <s v="583 Main St"/>
    <x v="4"/>
    <x v="4"/>
    <s v="TRK17354894"/>
    <n v="4"/>
    <s v="NO COUPON"/>
    <x v="2"/>
    <n v="399.4"/>
  </r>
  <r>
    <s v="ORD200135"/>
    <d v="2023-08-04T00:00:00"/>
    <s v="C79909"/>
    <s v="Printer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s v="Laptop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s v="Monitor"/>
    <n v="2"/>
    <n v="250.98"/>
    <s v="598 Main St"/>
    <x v="2"/>
    <x v="3"/>
    <s v="TRK12242337"/>
    <n v="5"/>
    <s v="NO COUPON"/>
    <x v="4"/>
    <n v="501.96"/>
  </r>
  <r>
    <s v="ORD200138"/>
    <d v="2023-12-21T00:00:00"/>
    <s v="C21905"/>
    <s v="Tablet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s v="Phone"/>
    <n v="1"/>
    <n v="583.9"/>
    <s v="714 Main St"/>
    <x v="4"/>
    <x v="2"/>
    <s v="TRK33114521"/>
    <n v="1"/>
    <s v="NO COUPON"/>
    <x v="2"/>
    <n v="583.9"/>
  </r>
  <r>
    <s v="ORD200140"/>
    <d v="2025-05-31T00:00:00"/>
    <s v="C33110"/>
    <s v="Chair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s v="Printer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s v="Desk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s v="Chair"/>
    <n v="4"/>
    <n v="400.07"/>
    <s v="933 Main St"/>
    <x v="1"/>
    <x v="0"/>
    <s v="TRK34654244"/>
    <n v="5"/>
    <s v="NO COUPON"/>
    <x v="1"/>
    <n v="1600.28"/>
  </r>
  <r>
    <s v="ORD200144"/>
    <d v="2023-08-04T00:00:00"/>
    <s v="C63365"/>
    <s v="Desk"/>
    <n v="5"/>
    <n v="219.78"/>
    <s v="895 Main St"/>
    <x v="2"/>
    <x v="4"/>
    <s v="TRK80100887"/>
    <n v="8"/>
    <s v="NO COUPON"/>
    <x v="3"/>
    <n v="1098.9000000000001"/>
  </r>
  <r>
    <s v="ORD200145"/>
    <d v="2024-03-02T00:00:00"/>
    <s v="C85929"/>
    <s v="Printer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s v="Tablet"/>
    <n v="2"/>
    <n v="411.49"/>
    <s v="404 Main St"/>
    <x v="2"/>
    <x v="2"/>
    <s v="TRK68893369"/>
    <n v="4"/>
    <s v="NO COUPON"/>
    <x v="0"/>
    <n v="822.98"/>
  </r>
  <r>
    <s v="ORD200147"/>
    <d v="2025-05-06T00:00:00"/>
    <s v="C46316"/>
    <s v="Laptop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s v="Phone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s v="Laptop"/>
    <n v="1"/>
    <n v="217.56"/>
    <s v="174 Main St"/>
    <x v="0"/>
    <x v="3"/>
    <s v="TRK47153818"/>
    <n v="3"/>
    <s v="NO COUPON"/>
    <x v="3"/>
    <n v="217.56"/>
  </r>
  <r>
    <s v="ORD200150"/>
    <d v="2023-12-13T00:00:00"/>
    <s v="C25503"/>
    <s v="Phone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s v="Printer"/>
    <n v="5"/>
    <n v="444.76"/>
    <s v="947 Main St"/>
    <x v="0"/>
    <x v="2"/>
    <s v="TRK91226500"/>
    <n v="7"/>
    <s v="NO COUPON"/>
    <x v="2"/>
    <n v="2223.8000000000002"/>
  </r>
  <r>
    <s v="ORD200152"/>
    <d v="2025-01-02T00:00:00"/>
    <s v="C77736"/>
    <s v="Chair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s v="Chair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s v="Phone"/>
    <n v="4"/>
    <n v="408.21"/>
    <s v="727 Main St"/>
    <x v="2"/>
    <x v="4"/>
    <s v="TRK13955543"/>
    <n v="9"/>
    <s v="NO COUPON"/>
    <x v="0"/>
    <n v="1632.84"/>
  </r>
  <r>
    <s v="ORD200155"/>
    <d v="2023-02-27T00:00:00"/>
    <s v="C62740"/>
    <s v="Phone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s v="Chair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s v="Monitor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s v="Tablet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s v="Printer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s v="Monitor"/>
    <n v="4"/>
    <n v="101.32"/>
    <s v="240 Main St"/>
    <x v="4"/>
    <x v="4"/>
    <s v="TRK81738254"/>
    <n v="7"/>
    <s v="NO COUPON"/>
    <x v="1"/>
    <n v="405.28"/>
  </r>
  <r>
    <s v="ORD200161"/>
    <d v="2024-03-29T00:00:00"/>
    <s v="C35091"/>
    <s v="Monitor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s v="Chair"/>
    <n v="3"/>
    <n v="65.86"/>
    <s v="917 Main St"/>
    <x v="1"/>
    <x v="4"/>
    <s v="TRK79854624"/>
    <n v="8"/>
    <s v="WINTER15"/>
    <x v="4"/>
    <n v="197.57999999999998"/>
  </r>
  <r>
    <s v="ORD200163"/>
    <d v="2025-06-24T00:00:00"/>
    <s v="C99589"/>
    <s v="Tablet"/>
    <n v="1"/>
    <n v="641.39"/>
    <s v="277 Main St"/>
    <x v="1"/>
    <x v="1"/>
    <s v="TRK16695001"/>
    <n v="1"/>
    <s v="NO COUPON"/>
    <x v="1"/>
    <n v="641.39"/>
  </r>
  <r>
    <s v="ORD200164"/>
    <d v="2023-12-28T00:00:00"/>
    <s v="C70566"/>
    <s v="Desk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s v="Monitor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s v="Chair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s v="Chair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s v="Printer"/>
    <n v="1"/>
    <n v="594.96"/>
    <s v="878 Main St"/>
    <x v="4"/>
    <x v="2"/>
    <s v="TRK78551375"/>
    <n v="6"/>
    <s v="NO COUPON"/>
    <x v="3"/>
    <n v="594.96"/>
  </r>
  <r>
    <s v="ORD200169"/>
    <d v="2024-04-07T00:00:00"/>
    <s v="C35785"/>
    <s v="Printer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s v="Desk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s v="Tablet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s v="Printer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s v="Phone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s v="Printer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s v="Chair"/>
    <n v="5"/>
    <n v="68.34"/>
    <s v="332 Main St"/>
    <x v="0"/>
    <x v="4"/>
    <s v="TRK71410605"/>
    <n v="6"/>
    <s v="WINTER15"/>
    <x v="1"/>
    <n v="341.70000000000005"/>
  </r>
  <r>
    <s v="ORD200176"/>
    <d v="2025-06-28T00:00:00"/>
    <s v="C80151"/>
    <s v="Tablet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s v="Chair"/>
    <n v="5"/>
    <n v="431.69"/>
    <s v="354 Main St"/>
    <x v="2"/>
    <x v="4"/>
    <s v="TRK13003066"/>
    <n v="10"/>
    <s v="NO COUPON"/>
    <x v="3"/>
    <n v="2158.4499999999998"/>
  </r>
  <r>
    <s v="ORD200178"/>
    <d v="2024-04-11T00:00:00"/>
    <s v="C53070"/>
    <s v="Chair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s v="Laptop"/>
    <n v="3"/>
    <n v="539.91"/>
    <s v="500 Main St"/>
    <x v="2"/>
    <x v="3"/>
    <s v="TRK14332053"/>
    <n v="8"/>
    <s v="NO COUPON"/>
    <x v="2"/>
    <n v="1619.73"/>
  </r>
  <r>
    <s v="ORD200180"/>
    <d v="2023-03-18T00:00:00"/>
    <s v="C87216"/>
    <s v="Tablet"/>
    <n v="5"/>
    <n v="316.07"/>
    <s v="970 Main St"/>
    <x v="4"/>
    <x v="2"/>
    <s v="TRK18713727"/>
    <n v="10"/>
    <s v="NO COUPON"/>
    <x v="4"/>
    <n v="1580.35"/>
  </r>
  <r>
    <s v="ORD200181"/>
    <d v="2024-08-31T00:00:00"/>
    <s v="C38966"/>
    <s v="Printer"/>
    <n v="5"/>
    <n v="404.39"/>
    <s v="247 Main St"/>
    <x v="1"/>
    <x v="0"/>
    <s v="TRK17205146"/>
    <n v="10"/>
    <s v="NO COUPON"/>
    <x v="1"/>
    <n v="2021.9499999999998"/>
  </r>
  <r>
    <s v="ORD200182"/>
    <d v="2025-03-19T00:00:00"/>
    <s v="C16612"/>
    <s v="Desk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s v="Monitor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s v="Tablet"/>
    <n v="4"/>
    <n v="214.54"/>
    <s v="231 Main St"/>
    <x v="3"/>
    <x v="1"/>
    <s v="TRK39255469"/>
    <n v="7"/>
    <s v="NO COUPON"/>
    <x v="1"/>
    <n v="858.16"/>
  </r>
  <r>
    <s v="ORD200185"/>
    <d v="2025-02-02T00:00:00"/>
    <s v="C46877"/>
    <s v="Laptop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s v="Phone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s v="Chair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s v="Chair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s v="Printer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s v="Printer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s v="Laptop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s v="Desk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s v="Printer"/>
    <n v="1"/>
    <n v="46.66"/>
    <s v="429 Main St"/>
    <x v="4"/>
    <x v="1"/>
    <s v="TRK81320339"/>
    <n v="6"/>
    <s v="NO COUPON"/>
    <x v="4"/>
    <n v="46.66"/>
  </r>
  <r>
    <s v="ORD200194"/>
    <d v="2024-06-08T00:00:00"/>
    <s v="C53501"/>
    <s v="Monitor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s v="Chair"/>
    <n v="3"/>
    <n v="619.21"/>
    <s v="801 Main St"/>
    <x v="0"/>
    <x v="1"/>
    <s v="TRK65385674"/>
    <n v="6"/>
    <s v="NO COUPON"/>
    <x v="2"/>
    <n v="1857.63"/>
  </r>
  <r>
    <s v="ORD200196"/>
    <d v="2025-01-24T00:00:00"/>
    <s v="C40882"/>
    <s v="Desk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s v="Laptop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s v="Laptop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s v="Phone"/>
    <n v="1"/>
    <n v="625"/>
    <s v="358 Main St"/>
    <x v="1"/>
    <x v="2"/>
    <s v="TRK21114341"/>
    <n v="5"/>
    <s v="WINTER15"/>
    <x v="4"/>
    <n v="625"/>
  </r>
  <r>
    <s v="ORD200200"/>
    <d v="2025-06-07T00:00:00"/>
    <s v="C97681"/>
    <s v="Tablet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s v="Monitor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s v="Monitor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s v="Printer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s v="Laptop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s v="Desk"/>
    <n v="3"/>
    <n v="147.38999999999999"/>
    <s v="609 Main St"/>
    <x v="0"/>
    <x v="2"/>
    <s v="TRK58357269"/>
    <n v="3"/>
    <s v="NO COUPON"/>
    <x v="2"/>
    <n v="442.16999999999996"/>
  </r>
  <r>
    <s v="ORD200206"/>
    <d v="2024-04-16T00:00:00"/>
    <s v="C31072"/>
    <s v="Laptop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s v="Phone"/>
    <n v="1"/>
    <n v="121.96"/>
    <s v="999 Main St"/>
    <x v="0"/>
    <x v="3"/>
    <s v="TRK44416659"/>
    <n v="3"/>
    <s v="NO COUPON"/>
    <x v="4"/>
    <n v="121.96"/>
  </r>
  <r>
    <s v="ORD200208"/>
    <d v="2024-10-08T00:00:00"/>
    <s v="C87777"/>
    <s v="Desk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s v="Tablet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s v="Chair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s v="Printer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s v="Monitor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s v="Laptop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s v="Desk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s v="C26767"/>
    <s v="Printer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s v="Monitor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s v="Desk"/>
    <n v="4"/>
    <n v="321.51"/>
    <s v="908 Main St"/>
    <x v="4"/>
    <x v="2"/>
    <s v="TRK65596914"/>
    <n v="9"/>
    <s v="NO COUPON"/>
    <x v="4"/>
    <n v="1286.04"/>
  </r>
  <r>
    <s v="ORD200218"/>
    <d v="2023-04-28T00:00:00"/>
    <s v="C11665"/>
    <s v="Tablet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s v="Laptop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s v="Laptop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s v="Tablet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s v="Chair"/>
    <n v="4"/>
    <n v="693.36"/>
    <s v="931 Main St"/>
    <x v="1"/>
    <x v="0"/>
    <s v="TRK17293348"/>
    <n v="8"/>
    <s v="NO COUPON"/>
    <x v="0"/>
    <n v="2773.44"/>
  </r>
  <r>
    <s v="ORD200223"/>
    <d v="2024-09-11T00:00:00"/>
    <s v="C22783"/>
    <s v="Phone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s v="Printer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s v="Phone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s v="Desk"/>
    <n v="3"/>
    <n v="588.04999999999995"/>
    <s v="242 Main St"/>
    <x v="3"/>
    <x v="3"/>
    <s v="TRK93063929"/>
    <n v="8"/>
    <s v="NO COUPON"/>
    <x v="0"/>
    <n v="1764.1499999999999"/>
  </r>
  <r>
    <s v="ORD200227"/>
    <d v="2023-11-02T00:00:00"/>
    <s v="C93220"/>
    <s v="Monitor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s v="Chair"/>
    <n v="4"/>
    <n v="385.92"/>
    <s v="579 Main St"/>
    <x v="2"/>
    <x v="1"/>
    <s v="TRK92055007"/>
    <n v="8"/>
    <s v="NO COUPON"/>
    <x v="0"/>
    <n v="1543.68"/>
  </r>
  <r>
    <s v="ORD200229"/>
    <d v="2025-03-28T00:00:00"/>
    <s v="C62622"/>
    <s v="Tablet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s v="Desk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s v="Phone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s v="Printer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s v="Phone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s v="Printer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s v="Desk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s v="Monitor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s v="Monitor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s v="Desk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s v="Tablet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s v="Tablet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s v="Chair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s v="Printer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s v="Chair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s v="Desk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s v="Laptop"/>
    <n v="1"/>
    <n v="223.3"/>
    <s v="306 Main St"/>
    <x v="1"/>
    <x v="2"/>
    <s v="TRK25390491"/>
    <n v="1"/>
    <s v="NO COUPON"/>
    <x v="3"/>
    <n v="223.3"/>
  </r>
  <r>
    <s v="ORD200246"/>
    <d v="2024-08-30T00:00:00"/>
    <s v="C55354"/>
    <s v="Desk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s v="Printer"/>
    <n v="2"/>
    <n v="220.9"/>
    <s v="785 Main St"/>
    <x v="3"/>
    <x v="0"/>
    <s v="TRK84984764"/>
    <n v="4"/>
    <s v="NO COUPON"/>
    <x v="2"/>
    <n v="441.8"/>
  </r>
  <r>
    <s v="ORD200248"/>
    <d v="2023-07-02T00:00:00"/>
    <s v="C97187"/>
    <s v="Laptop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s v="Printer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s v="Desk"/>
    <n v="3"/>
    <n v="42.95"/>
    <s v="318 Main St"/>
    <x v="3"/>
    <x v="2"/>
    <s v="TRK67954150"/>
    <n v="8"/>
    <s v="SAVE10"/>
    <x v="2"/>
    <n v="128.85000000000002"/>
  </r>
  <r>
    <s v="ORD200251"/>
    <d v="2025-05-15T00:00:00"/>
    <s v="C93175"/>
    <s v="Monitor"/>
    <n v="4"/>
    <n v="14.69"/>
    <s v="814 Main St"/>
    <x v="4"/>
    <x v="1"/>
    <s v="TRK32995144"/>
    <n v="9"/>
    <s v="NO COUPON"/>
    <x v="2"/>
    <n v="58.76"/>
  </r>
  <r>
    <s v="ORD200252"/>
    <d v="2024-09-20T00:00:00"/>
    <s v="C19648"/>
    <s v="Phone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s v="Chair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s v="Monitor"/>
    <n v="3"/>
    <n v="263.19"/>
    <s v="770 Main St"/>
    <x v="1"/>
    <x v="3"/>
    <s v="TRK34809583"/>
    <n v="5"/>
    <s v="NO COUPON"/>
    <x v="0"/>
    <n v="789.56999999999994"/>
  </r>
  <r>
    <s v="ORD200255"/>
    <d v="2024-05-13T00:00:00"/>
    <s v="C47283"/>
    <s v="Monitor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s v="Chair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s v="Phone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s v="Tablet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s v="Chair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s v="Monitor"/>
    <n v="2"/>
    <n v="407.79"/>
    <s v="153 Main St"/>
    <x v="0"/>
    <x v="0"/>
    <s v="TRK22000463"/>
    <n v="3"/>
    <s v="NO COUPON"/>
    <x v="4"/>
    <n v="815.58"/>
  </r>
  <r>
    <s v="ORD200261"/>
    <d v="2025-05-28T00:00:00"/>
    <s v="C68976"/>
    <s v="Phone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s v="Phone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s v="Phone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s v="Tablet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s v="Printer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s v="Chair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s v="Chair"/>
    <n v="5"/>
    <n v="468.51"/>
    <s v="803 Main St"/>
    <x v="0"/>
    <x v="3"/>
    <s v="TRK62361867"/>
    <n v="9"/>
    <s v="NO COUPON"/>
    <x v="3"/>
    <n v="2342.5500000000002"/>
  </r>
  <r>
    <s v="ORD200268"/>
    <d v="2023-08-11T00:00:00"/>
    <s v="C37032"/>
    <s v="Phone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s v="Tablet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s v="Printer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s v="Monitor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s v="Chair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s v="Tablet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s v="Phone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s v="Chair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s v="Printer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s v="Chair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s v="Laptop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s v="Chair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s v="Tablet"/>
    <n v="3"/>
    <n v="404.62"/>
    <s v="740 Main St"/>
    <x v="3"/>
    <x v="3"/>
    <s v="TRK75741001"/>
    <n v="6"/>
    <s v="FREESHIP"/>
    <x v="0"/>
    <n v="1213.8600000000001"/>
  </r>
  <r>
    <s v="ORD200281"/>
    <d v="2023-07-27T00:00:00"/>
    <s v="C87181"/>
    <s v="Desk"/>
    <n v="4"/>
    <n v="654.79"/>
    <s v="195 Main St"/>
    <x v="4"/>
    <x v="4"/>
    <s v="TRK60093390"/>
    <n v="9"/>
    <s v="NO COUPON"/>
    <x v="1"/>
    <n v="2619.16"/>
  </r>
  <r>
    <s v="ORD200282"/>
    <d v="2025-04-22T00:00:00"/>
    <s v="C30411"/>
    <s v="Printer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s v="Laptop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s v="C27203"/>
    <s v="Laptop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s v="Phone"/>
    <n v="1"/>
    <n v="338.31"/>
    <s v="974 Main St"/>
    <x v="1"/>
    <x v="3"/>
    <s v="TRK93281700"/>
    <n v="3"/>
    <s v="NO COUPON"/>
    <x v="4"/>
    <n v="338.31"/>
  </r>
  <r>
    <s v="ORD200286"/>
    <d v="2025-04-07T00:00:00"/>
    <s v="C70554"/>
    <s v="Monitor"/>
    <n v="3"/>
    <n v="139.44999999999999"/>
    <s v="187 Main St"/>
    <x v="3"/>
    <x v="2"/>
    <s v="TRK61086952"/>
    <n v="8"/>
    <s v="WINTER15"/>
    <x v="4"/>
    <n v="418.34999999999997"/>
  </r>
  <r>
    <s v="ORD200287"/>
    <d v="2023-11-24T00:00:00"/>
    <s v="C70437"/>
    <s v="Chair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s v="C97643"/>
    <s v="Laptop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s v="Chair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s v="Chair"/>
    <n v="3"/>
    <n v="99.9"/>
    <s v="258 Main St"/>
    <x v="4"/>
    <x v="3"/>
    <s v="TRK14029489"/>
    <n v="8"/>
    <s v="FREESHIP"/>
    <x v="3"/>
    <n v="299.70000000000005"/>
  </r>
  <r>
    <s v="ORD200291"/>
    <d v="2024-05-12T00:00:00"/>
    <s v="C61521"/>
    <s v="Phone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s v="Monitor"/>
    <n v="1"/>
    <n v="65.95"/>
    <s v="185 Main St"/>
    <x v="2"/>
    <x v="3"/>
    <s v="TRK31042152"/>
    <n v="5"/>
    <s v="NO COUPON"/>
    <x v="3"/>
    <n v="65.95"/>
  </r>
  <r>
    <s v="ORD200293"/>
    <d v="2023-02-16T00:00:00"/>
    <s v="C33220"/>
    <s v="Tablet"/>
    <n v="4"/>
    <n v="463.04"/>
    <s v="564 Main St"/>
    <x v="3"/>
    <x v="2"/>
    <s v="TRK40450219"/>
    <n v="9"/>
    <s v="NO COUPON"/>
    <x v="0"/>
    <n v="1852.16"/>
  </r>
  <r>
    <s v="ORD200294"/>
    <d v="2025-04-01T00:00:00"/>
    <s v="C65414"/>
    <s v="Phone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s v="Printer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s v="Desk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s v="Desk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s v="Printer"/>
    <n v="4"/>
    <n v="301.17"/>
    <s v="267 Main St"/>
    <x v="1"/>
    <x v="1"/>
    <s v="TRK97825212"/>
    <n v="6"/>
    <s v="NO COUPON"/>
    <x v="2"/>
    <n v="1204.68"/>
  </r>
  <r>
    <s v="ORD200299"/>
    <d v="2024-01-20T00:00:00"/>
    <s v="C30711"/>
    <s v="Monitor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s v="Phone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s v="Chair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s v="Chair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s v="Tablet"/>
    <n v="1"/>
    <n v="30.54"/>
    <s v="368 Main St"/>
    <x v="0"/>
    <x v="2"/>
    <s v="TRK95462192"/>
    <n v="1"/>
    <s v="NO COUPON"/>
    <x v="4"/>
    <n v="30.54"/>
  </r>
  <r>
    <s v="ORD200304"/>
    <d v="2024-10-18T00:00:00"/>
    <s v="C86762"/>
    <s v="Monitor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s v="Laptop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s v="Printer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s v="Laptop"/>
    <n v="3"/>
    <n v="557.41"/>
    <s v="135 Main St"/>
    <x v="1"/>
    <x v="3"/>
    <s v="TRK11755610"/>
    <n v="4"/>
    <s v="NO COUPON"/>
    <x v="2"/>
    <n v="1672.23"/>
  </r>
  <r>
    <s v="ORD200308"/>
    <d v="2023-12-11T00:00:00"/>
    <s v="C75888"/>
    <s v="Printer"/>
    <n v="3"/>
    <n v="448.9"/>
    <s v="790 Main St"/>
    <x v="0"/>
    <x v="2"/>
    <s v="TRK98467398"/>
    <n v="7"/>
    <s v="SAVE10"/>
    <x v="0"/>
    <n v="1346.6999999999998"/>
  </r>
  <r>
    <s v="ORD200309"/>
    <d v="2023-10-03T00:00:00"/>
    <s v="C63153"/>
    <s v="Chair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s v="Printer"/>
    <n v="3"/>
    <n v="132.47999999999999"/>
    <s v="968 Main St"/>
    <x v="1"/>
    <x v="0"/>
    <s v="TRK16094218"/>
    <n v="4"/>
    <s v="NO COUPON"/>
    <x v="1"/>
    <n v="397.43999999999994"/>
  </r>
  <r>
    <s v="ORD200311"/>
    <d v="2025-05-17T00:00:00"/>
    <s v="C71698"/>
    <s v="Desk"/>
    <n v="5"/>
    <n v="489.37"/>
    <s v="274 Main St"/>
    <x v="1"/>
    <x v="2"/>
    <s v="TRK34786818"/>
    <n v="8"/>
    <s v="NO COUPON"/>
    <x v="0"/>
    <n v="2446.85"/>
  </r>
  <r>
    <s v="ORD200312"/>
    <d v="2025-05-24T00:00:00"/>
    <s v="C35397"/>
    <s v="Printer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s v="Chair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s v="Desk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s v="Tablet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s v="Desk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s v="Monitor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s v="C93375"/>
    <s v="Chair"/>
    <n v="3"/>
    <n v="148.72"/>
    <s v="317 Main St"/>
    <x v="0"/>
    <x v="1"/>
    <s v="TRK95706967"/>
    <n v="7"/>
    <s v="SAVE10"/>
    <x v="4"/>
    <n v="446.15999999999997"/>
  </r>
  <r>
    <s v="ORD200319"/>
    <d v="2023-12-02T00:00:00"/>
    <s v="C53049"/>
    <s v="Laptop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s v="C55590"/>
    <s v="Printer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s v="Phone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s v="Phone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s v="Laptop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s v="Tablet"/>
    <n v="3"/>
    <n v="70.930000000000007"/>
    <s v="847 Main St"/>
    <x v="0"/>
    <x v="2"/>
    <s v="TRK70193221"/>
    <n v="5"/>
    <s v="NO COUPON"/>
    <x v="1"/>
    <n v="212.79000000000002"/>
  </r>
  <r>
    <s v="ORD200325"/>
    <d v="2023-06-29T00:00:00"/>
    <s v="C53545"/>
    <s v="Desk"/>
    <n v="3"/>
    <n v="361.39"/>
    <s v="665 Main St"/>
    <x v="2"/>
    <x v="0"/>
    <s v="TRK61123177"/>
    <n v="8"/>
    <s v="NO COUPON"/>
    <x v="1"/>
    <n v="1084.17"/>
  </r>
  <r>
    <s v="ORD200326"/>
    <d v="2024-07-01T00:00:00"/>
    <s v="C65986"/>
    <s v="Laptop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s v="Phone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s v="Tablet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s v="Chair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s v="C38068"/>
    <s v="Desk"/>
    <n v="5"/>
    <n v="260.52999999999997"/>
    <s v="532 Main St"/>
    <x v="3"/>
    <x v="4"/>
    <s v="TRK54059198"/>
    <n v="5"/>
    <s v="SAVE10"/>
    <x v="0"/>
    <n v="1302.6499999999999"/>
  </r>
  <r>
    <s v="ORD200331"/>
    <d v="2023-04-15T00:00:00"/>
    <s v="C78724"/>
    <s v="Printer"/>
    <n v="3"/>
    <n v="422.13"/>
    <s v="187 Main St"/>
    <x v="1"/>
    <x v="3"/>
    <s v="TRK25703134"/>
    <n v="7"/>
    <s v="SAVE10"/>
    <x v="3"/>
    <n v="1266.3899999999999"/>
  </r>
  <r>
    <s v="ORD200332"/>
    <d v="2024-07-03T00:00:00"/>
    <s v="C26163"/>
    <s v="Desk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s v="Phone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s v="Chair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s v="Tablet"/>
    <n v="3"/>
    <n v="205.86"/>
    <s v="978 Main St"/>
    <x v="3"/>
    <x v="0"/>
    <s v="TRK34801199"/>
    <n v="4"/>
    <s v="NO COUPON"/>
    <x v="2"/>
    <n v="617.58000000000004"/>
  </r>
  <r>
    <s v="ORD200336"/>
    <d v="2023-12-29T00:00:00"/>
    <s v="C88174"/>
    <s v="Laptop"/>
    <n v="1"/>
    <n v="18.2"/>
    <s v="441 Main St"/>
    <x v="0"/>
    <x v="4"/>
    <s v="TRK10143345"/>
    <n v="4"/>
    <s v="SAVE10"/>
    <x v="0"/>
    <n v="18.2"/>
  </r>
  <r>
    <s v="ORD200337"/>
    <d v="2023-05-29T00:00:00"/>
    <s v="C77763"/>
    <s v="Tablet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s v="Phone"/>
    <n v="5"/>
    <n v="305.49"/>
    <s v="704 Main St"/>
    <x v="0"/>
    <x v="0"/>
    <s v="TRK64112352"/>
    <n v="10"/>
    <s v="NO COUPON"/>
    <x v="1"/>
    <n v="1527.45"/>
  </r>
  <r>
    <s v="ORD200339"/>
    <d v="2024-04-10T00:00:00"/>
    <s v="C84563"/>
    <s v="Printer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s v="Laptop"/>
    <n v="5"/>
    <n v="521.25"/>
    <s v="826 Main St"/>
    <x v="4"/>
    <x v="1"/>
    <s v="TRK25569378"/>
    <n v="8"/>
    <s v="NO COUPON"/>
    <x v="2"/>
    <n v="2606.25"/>
  </r>
  <r>
    <s v="ORD200341"/>
    <d v="2024-09-23T00:00:00"/>
    <s v="C94671"/>
    <s v="Tablet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s v="Monitor"/>
    <n v="5"/>
    <n v="466.42"/>
    <s v="619 Main St"/>
    <x v="3"/>
    <x v="2"/>
    <s v="TRK95935805"/>
    <n v="5"/>
    <s v="NO COUPON"/>
    <x v="1"/>
    <n v="2332.1"/>
  </r>
  <r>
    <s v="ORD200343"/>
    <d v="2023-02-26T00:00:00"/>
    <s v="C64638"/>
    <s v="Printer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s v="Tablet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s v="Tablet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s v="Tablet"/>
    <n v="1"/>
    <n v="655.09"/>
    <s v="876 Main St"/>
    <x v="4"/>
    <x v="4"/>
    <s v="TRK44680433"/>
    <n v="6"/>
    <s v="NO COUPON"/>
    <x v="1"/>
    <n v="655.09"/>
  </r>
  <r>
    <s v="ORD200347"/>
    <d v="2024-02-03T00:00:00"/>
    <s v="C83556"/>
    <s v="Printer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s v="Laptop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s v="Chair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s v="Chair"/>
    <n v="2"/>
    <n v="54.41"/>
    <s v="495 Main St"/>
    <x v="1"/>
    <x v="0"/>
    <s v="TRK60127216"/>
    <n v="6"/>
    <s v="NO COUPON"/>
    <x v="0"/>
    <n v="108.82"/>
  </r>
  <r>
    <s v="ORD200351"/>
    <d v="2025-02-15T00:00:00"/>
    <s v="C94248"/>
    <s v="Laptop"/>
    <n v="1"/>
    <n v="64.66"/>
    <s v="494 Main St"/>
    <x v="0"/>
    <x v="3"/>
    <s v="TRK89406816"/>
    <n v="4"/>
    <s v="NO COUPON"/>
    <x v="0"/>
    <n v="64.66"/>
  </r>
  <r>
    <s v="ORD200352"/>
    <d v="2023-08-31T00:00:00"/>
    <s v="C26637"/>
    <s v="Chair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s v="Tablet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s v="Phone"/>
    <n v="1"/>
    <n v="693.41"/>
    <s v="992 Main St"/>
    <x v="0"/>
    <x v="0"/>
    <s v="TRK11970357"/>
    <n v="4"/>
    <s v="NO COUPON"/>
    <x v="0"/>
    <n v="693.41"/>
  </r>
  <r>
    <s v="ORD200355"/>
    <d v="2025-06-03T00:00:00"/>
    <s v="C18353"/>
    <s v="Tablet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s v="Printer"/>
    <n v="5"/>
    <n v="374.58"/>
    <s v="907 Main St"/>
    <x v="3"/>
    <x v="1"/>
    <s v="TRK83889574"/>
    <n v="10"/>
    <s v="FREESHIP"/>
    <x v="0"/>
    <n v="1872.8999999999999"/>
  </r>
  <r>
    <s v="ORD200357"/>
    <d v="2023-07-08T00:00:00"/>
    <s v="C74982"/>
    <s v="Laptop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s v="Tablet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s v="Desk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s v="Phone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s v="C53464"/>
    <s v="Printer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s v="Monitor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s v="Laptop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s v="Phone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s v="Phone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s v="Printer"/>
    <n v="3"/>
    <n v="602.24"/>
    <s v="603 Main St"/>
    <x v="0"/>
    <x v="4"/>
    <s v="TRK40630538"/>
    <n v="8"/>
    <s v="NO COUPON"/>
    <x v="1"/>
    <n v="1806.72"/>
  </r>
  <r>
    <s v="ORD200367"/>
    <d v="2024-04-25T00:00:00"/>
    <s v="C13108"/>
    <s v="Laptop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s v="Monitor"/>
    <n v="3"/>
    <n v="271.02"/>
    <s v="403 Main St"/>
    <x v="2"/>
    <x v="1"/>
    <s v="TRK89728869"/>
    <n v="6"/>
    <s v="NO COUPON"/>
    <x v="4"/>
    <n v="813.06"/>
  </r>
  <r>
    <s v="ORD200369"/>
    <d v="2024-12-22T00:00:00"/>
    <s v="C43545"/>
    <s v="Monitor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s v="Phone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s v="Phone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s v="Chair"/>
    <n v="3"/>
    <n v="483.53"/>
    <s v="166 Main St"/>
    <x v="4"/>
    <x v="2"/>
    <s v="TRK12123939"/>
    <n v="4"/>
    <s v="NO COUPON"/>
    <x v="1"/>
    <n v="1450.59"/>
  </r>
  <r>
    <s v="ORD200373"/>
    <d v="2023-01-02T00:00:00"/>
    <s v="C60178"/>
    <s v="Laptop"/>
    <n v="3"/>
    <n v="341.15"/>
    <s v="969 Main St"/>
    <x v="4"/>
    <x v="4"/>
    <s v="TRK84505143"/>
    <n v="4"/>
    <s v="FREESHIP"/>
    <x v="0"/>
    <n v="1023.4499999999999"/>
  </r>
  <r>
    <s v="ORD200374"/>
    <d v="2024-09-16T00:00:00"/>
    <s v="C20286"/>
    <s v="Monitor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s v="Monitor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s v="Monitor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s v="Monitor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s v="Chair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s v="Phone"/>
    <n v="3"/>
    <n v="297.67"/>
    <s v="500 Main St"/>
    <x v="1"/>
    <x v="0"/>
    <s v="TRK85756094"/>
    <n v="6"/>
    <s v="NO COUPON"/>
    <x v="4"/>
    <n v="893.01"/>
  </r>
  <r>
    <s v="ORD200380"/>
    <d v="2024-04-20T00:00:00"/>
    <s v="C35355"/>
    <s v="Printer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s v="Chair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s v="Printer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s v="Chair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s v="Chair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s v="Chair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s v="Tablet"/>
    <n v="1"/>
    <n v="93.02"/>
    <s v="373 Main St"/>
    <x v="1"/>
    <x v="2"/>
    <s v="TRK32588504"/>
    <n v="4"/>
    <s v="NO COUPON"/>
    <x v="2"/>
    <n v="93.02"/>
  </r>
  <r>
    <s v="ORD200387"/>
    <d v="2024-06-27T00:00:00"/>
    <s v="C25316"/>
    <s v="Printer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s v="Printer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s v="Desk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s v="Printer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s v="Laptop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s v="Phone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s v="Printer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s v="C70148"/>
    <s v="Desk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s v="C30010"/>
    <s v="Phone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s v="Tablet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s v="Monitor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s v="Phone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s v="Tablet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s v="Desk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s v="Printer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s v="C83026"/>
    <s v="Printer"/>
    <n v="5"/>
    <n v="337.38"/>
    <s v="858 Main St"/>
    <x v="3"/>
    <x v="0"/>
    <s v="TRK79746259"/>
    <n v="5"/>
    <s v="NO COUPON"/>
    <x v="1"/>
    <n v="1686.9"/>
  </r>
  <r>
    <s v="ORD200403"/>
    <d v="2024-11-10T00:00:00"/>
    <s v="C28893"/>
    <s v="Tablet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s v="Monitor"/>
    <n v="2"/>
    <n v="99.1"/>
    <s v="440 Main St"/>
    <x v="4"/>
    <x v="3"/>
    <s v="TRK54571699"/>
    <n v="6"/>
    <s v="NO COUPON"/>
    <x v="0"/>
    <n v="198.2"/>
  </r>
  <r>
    <s v="ORD200405"/>
    <d v="2025-01-26T00:00:00"/>
    <s v="C97774"/>
    <s v="Monitor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s v="Tablet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s v="Tablet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s v="Printer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s v="Desk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s v="Tablet"/>
    <n v="2"/>
    <n v="518.23"/>
    <s v="184 Main St"/>
    <x v="0"/>
    <x v="0"/>
    <s v="TRK52470162"/>
    <n v="5"/>
    <s v="NO COUPON"/>
    <x v="2"/>
    <n v="1036.46"/>
  </r>
  <r>
    <s v="ORD200411"/>
    <d v="2024-06-19T00:00:00"/>
    <s v="C66567"/>
    <s v="Desk"/>
    <n v="2"/>
    <n v="39.51"/>
    <s v="981 Main St"/>
    <x v="1"/>
    <x v="0"/>
    <s v="TRK21174822"/>
    <n v="5"/>
    <s v="NO COUPON"/>
    <x v="3"/>
    <n v="79.02"/>
  </r>
  <r>
    <s v="ORD200412"/>
    <d v="2025-04-11T00:00:00"/>
    <s v="C42451"/>
    <s v="Tablet"/>
    <n v="5"/>
    <n v="133.01"/>
    <s v="246 Main St"/>
    <x v="2"/>
    <x v="2"/>
    <s v="TRK31313343"/>
    <n v="10"/>
    <s v="NO COUPON"/>
    <x v="3"/>
    <n v="665.05"/>
  </r>
  <r>
    <s v="ORD200413"/>
    <d v="2023-10-08T00:00:00"/>
    <s v="C13923"/>
    <s v="Tablet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s v="Desk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s v="Chair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s v="Laptop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s v="Laptop"/>
    <n v="5"/>
    <n v="55.41"/>
    <s v="954 Main St"/>
    <x v="1"/>
    <x v="1"/>
    <s v="TRK51429869"/>
    <n v="5"/>
    <s v="NO COUPON"/>
    <x v="4"/>
    <n v="277.04999999999995"/>
  </r>
  <r>
    <s v="ORD200418"/>
    <d v="2023-01-11T00:00:00"/>
    <s v="C74169"/>
    <s v="Printer"/>
    <n v="1"/>
    <n v="310.93"/>
    <s v="862 Main St"/>
    <x v="1"/>
    <x v="1"/>
    <s v="TRK66144809"/>
    <n v="3"/>
    <s v="NO COUPON"/>
    <x v="3"/>
    <n v="310.93"/>
  </r>
  <r>
    <s v="ORD200419"/>
    <d v="2024-04-17T00:00:00"/>
    <s v="C70999"/>
    <s v="Tablet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s v="Phone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s v="Chair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s v="C76140"/>
    <s v="Phone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s v="Printer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s v="Chair"/>
    <n v="5"/>
    <n v="22.94"/>
    <s v="339 Main St"/>
    <x v="4"/>
    <x v="4"/>
    <s v="TRK64012257"/>
    <n v="10"/>
    <s v="NO COUPON"/>
    <x v="2"/>
    <n v="114.7"/>
  </r>
  <r>
    <s v="ORD200425"/>
    <d v="2023-03-09T00:00:00"/>
    <s v="C40648"/>
    <s v="Laptop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s v="Monitor"/>
    <n v="5"/>
    <n v="57.45"/>
    <s v="315 Main St"/>
    <x v="4"/>
    <x v="1"/>
    <s v="TRK24839296"/>
    <n v="10"/>
    <s v="NO COUPON"/>
    <x v="3"/>
    <n v="287.25"/>
  </r>
  <r>
    <s v="ORD200427"/>
    <d v="2024-12-18T00:00:00"/>
    <s v="C25406"/>
    <s v="Desk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s v="Chair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s v="Printer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s v="Phone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s v="Printer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s v="Tablet"/>
    <n v="2"/>
    <n v="424.32"/>
    <s v="662 Main St"/>
    <x v="2"/>
    <x v="2"/>
    <s v="TRK77163738"/>
    <n v="6"/>
    <s v="NO COUPON"/>
    <x v="1"/>
    <n v="848.64"/>
  </r>
  <r>
    <s v="ORD200433"/>
    <d v="2023-08-26T00:00:00"/>
    <s v="C36613"/>
    <s v="Monitor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s v="Printer"/>
    <n v="5"/>
    <n v="327.68"/>
    <s v="384 Main St"/>
    <x v="2"/>
    <x v="2"/>
    <s v="TRK85939879"/>
    <n v="6"/>
    <s v="NO COUPON"/>
    <x v="3"/>
    <n v="1638.4"/>
  </r>
  <r>
    <s v="ORD200435"/>
    <d v="2023-05-27T00:00:00"/>
    <s v="C48601"/>
    <s v="Printer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s v="Laptop"/>
    <n v="4"/>
    <n v="221.33"/>
    <s v="651 Main St"/>
    <x v="1"/>
    <x v="4"/>
    <s v="TRK73545796"/>
    <n v="5"/>
    <s v="NO COUPON"/>
    <x v="4"/>
    <n v="885.32"/>
  </r>
  <r>
    <s v="ORD200437"/>
    <d v="2024-04-18T00:00:00"/>
    <s v="C63378"/>
    <s v="Phone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s v="Tablet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s v="Tablet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s v="Desk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s v="Printer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s v="Chair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s v="Chair"/>
    <n v="2"/>
    <n v="69.64"/>
    <s v="813 Main St"/>
    <x v="4"/>
    <x v="2"/>
    <s v="TRK58970302"/>
    <n v="6"/>
    <s v="NO COUPON"/>
    <x v="3"/>
    <n v="139.28"/>
  </r>
  <r>
    <s v="ORD200444"/>
    <d v="2024-06-08T00:00:00"/>
    <s v="C79508"/>
    <s v="Printer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s v="Phone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s v="Laptop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s v="Printer"/>
    <n v="2"/>
    <n v="416.81"/>
    <s v="356 Main St"/>
    <x v="4"/>
    <x v="2"/>
    <s v="TRK45355655"/>
    <n v="2"/>
    <s v="NO COUPON"/>
    <x v="3"/>
    <n v="833.62"/>
  </r>
  <r>
    <s v="ORD200448"/>
    <d v="2023-09-04T00:00:00"/>
    <s v="C16776"/>
    <s v="Laptop"/>
    <n v="2"/>
    <n v="160"/>
    <s v="854 Main St"/>
    <x v="4"/>
    <x v="4"/>
    <s v="TRK12860600"/>
    <n v="4"/>
    <s v="SAVE10"/>
    <x v="0"/>
    <n v="320"/>
  </r>
  <r>
    <s v="ORD200449"/>
    <d v="2024-08-26T00:00:00"/>
    <s v="C91518"/>
    <s v="Tablet"/>
    <n v="3"/>
    <n v="253.05"/>
    <s v="286 Main St"/>
    <x v="1"/>
    <x v="4"/>
    <s v="TRK48688724"/>
    <n v="3"/>
    <s v="NO COUPON"/>
    <x v="0"/>
    <n v="759.15000000000009"/>
  </r>
  <r>
    <s v="ORD200450"/>
    <d v="2024-01-15T00:00:00"/>
    <s v="C36408"/>
    <s v="Monitor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s v="Monitor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s v="Printer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s v="Tablet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s v="Laptop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s v="Phone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s v="Desk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s v="Desk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s v="Monitor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s v="Desk"/>
    <n v="1"/>
    <n v="334.39"/>
    <s v="433 Main St"/>
    <x v="2"/>
    <x v="2"/>
    <s v="TRK39717191"/>
    <n v="2"/>
    <s v="NO COUPON"/>
    <x v="0"/>
    <n v="334.39"/>
  </r>
  <r>
    <s v="ORD200460"/>
    <d v="2024-10-06T00:00:00"/>
    <s v="C83548"/>
    <s v="Laptop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s v="Tablet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s v="Phone"/>
    <n v="1"/>
    <n v="252.68"/>
    <s v="731 Main St"/>
    <x v="1"/>
    <x v="1"/>
    <s v="TRK32796086"/>
    <n v="1"/>
    <s v="NO COUPON"/>
    <x v="1"/>
    <n v="252.68"/>
  </r>
  <r>
    <s v="ORD200463"/>
    <d v="2023-05-26T00:00:00"/>
    <s v="C25276"/>
    <s v="Laptop"/>
    <n v="5"/>
    <n v="662.78"/>
    <s v="214 Main St"/>
    <x v="0"/>
    <x v="0"/>
    <s v="TRK14011732"/>
    <n v="9"/>
    <s v="SAVE10"/>
    <x v="0"/>
    <n v="3313.8999999999996"/>
  </r>
  <r>
    <s v="ORD200464"/>
    <d v="2023-03-14T00:00:00"/>
    <s v="C39176"/>
    <s v="Tablet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s v="Printer"/>
    <n v="5"/>
    <n v="513.49"/>
    <s v="391 Main St"/>
    <x v="3"/>
    <x v="1"/>
    <s v="TRK65438300"/>
    <n v="8"/>
    <s v="NO COUPON"/>
    <x v="4"/>
    <n v="2567.4499999999998"/>
  </r>
  <r>
    <s v="ORD200466"/>
    <d v="2023-07-18T00:00:00"/>
    <s v="C37412"/>
    <s v="Phone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s v="Desk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s v="Phone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s v="Chair"/>
    <n v="5"/>
    <n v="676.98"/>
    <s v="893 Main St"/>
    <x v="4"/>
    <x v="1"/>
    <s v="TRK17254691"/>
    <n v="5"/>
    <s v="NO COUPON"/>
    <x v="3"/>
    <n v="3384.9"/>
  </r>
  <r>
    <s v="ORD200470"/>
    <d v="2023-09-29T00:00:00"/>
    <s v="C25149"/>
    <s v="Tablet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s v="Desk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s v="Chair"/>
    <n v="3"/>
    <n v="508.12"/>
    <s v="796 Main St"/>
    <x v="2"/>
    <x v="1"/>
    <s v="TRK86461316"/>
    <n v="8"/>
    <s v="FREESHIP"/>
    <x v="1"/>
    <n v="1524.3600000000001"/>
  </r>
  <r>
    <s v="ORD200473"/>
    <d v="2025-02-25T00:00:00"/>
    <s v="C28552"/>
    <s v="Chair"/>
    <n v="2"/>
    <n v="14.93"/>
    <s v="449 Main St"/>
    <x v="1"/>
    <x v="0"/>
    <s v="TRK71597160"/>
    <n v="4"/>
    <s v="NO COUPON"/>
    <x v="3"/>
    <n v="29.86"/>
  </r>
  <r>
    <s v="ORD200474"/>
    <d v="2023-11-15T00:00:00"/>
    <s v="C72293"/>
    <s v="Printer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s v="Tablet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s v="Phone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s v="Phone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s v="Tablet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s v="Monitor"/>
    <n v="4"/>
    <n v="25.29"/>
    <s v="943 Main St"/>
    <x v="2"/>
    <x v="4"/>
    <s v="TRK21429162"/>
    <n v="8"/>
    <s v="NO COUPON"/>
    <x v="4"/>
    <n v="101.16"/>
  </r>
  <r>
    <s v="ORD200480"/>
    <d v="2023-06-16T00:00:00"/>
    <s v="C21147"/>
    <s v="Chair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s v="Laptop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s v="Monitor"/>
    <n v="3"/>
    <n v="381.41"/>
    <s v="989 Main St"/>
    <x v="1"/>
    <x v="4"/>
    <s v="TRK22302049"/>
    <n v="6"/>
    <s v="NO COUPON"/>
    <x v="0"/>
    <n v="1144.23"/>
  </r>
  <r>
    <s v="ORD200483"/>
    <d v="2023-01-18T00:00:00"/>
    <s v="C66462"/>
    <s v="Phone"/>
    <n v="5"/>
    <n v="347.92"/>
    <s v="982 Main St"/>
    <x v="4"/>
    <x v="4"/>
    <s v="TRK52743700"/>
    <n v="6"/>
    <s v="WINTER15"/>
    <x v="4"/>
    <n v="1739.6000000000001"/>
  </r>
  <r>
    <s v="ORD200484"/>
    <d v="2024-05-29T00:00:00"/>
    <s v="C29092"/>
    <s v="Chair"/>
    <n v="4"/>
    <n v="15.01"/>
    <s v="767 Main St"/>
    <x v="4"/>
    <x v="1"/>
    <s v="TRK90455340"/>
    <n v="6"/>
    <s v="NO COUPON"/>
    <x v="3"/>
    <n v="60.04"/>
  </r>
  <r>
    <s v="ORD200485"/>
    <d v="2023-08-01T00:00:00"/>
    <s v="C46651"/>
    <s v="Chair"/>
    <n v="3"/>
    <n v="404.79"/>
    <s v="764 Main St"/>
    <x v="4"/>
    <x v="0"/>
    <s v="TRK67679195"/>
    <n v="6"/>
    <s v="SAVE10"/>
    <x v="0"/>
    <n v="1214.3700000000001"/>
  </r>
  <r>
    <s v="ORD200486"/>
    <d v="2023-02-03T00:00:00"/>
    <s v="C88981"/>
    <s v="Printer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s v="Printer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s v="Chair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s v="Tablet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s v="Chair"/>
    <n v="5"/>
    <n v="467.81"/>
    <s v="539 Main St"/>
    <x v="1"/>
    <x v="1"/>
    <s v="TRK62785150"/>
    <n v="10"/>
    <s v="NO COUPON"/>
    <x v="3"/>
    <n v="2339.0500000000002"/>
  </r>
  <r>
    <s v="ORD200491"/>
    <d v="2023-01-05T00:00:00"/>
    <s v="C98168"/>
    <s v="Phone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s v="Laptop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s v="Phone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s v="Laptop"/>
    <n v="3"/>
    <n v="505.79"/>
    <s v="459 Main St"/>
    <x v="0"/>
    <x v="4"/>
    <s v="TRK63920573"/>
    <n v="3"/>
    <s v="FREESHIP"/>
    <x v="1"/>
    <n v="1517.3700000000001"/>
  </r>
  <r>
    <s v="ORD200495"/>
    <d v="2025-06-05T00:00:00"/>
    <s v="C63827"/>
    <s v="Phone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s v="Printer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s v="Printer"/>
    <n v="3"/>
    <n v="112.29"/>
    <s v="454 Main St"/>
    <x v="3"/>
    <x v="0"/>
    <s v="TRK77358113"/>
    <n v="6"/>
    <s v="NO COUPON"/>
    <x v="4"/>
    <n v="336.87"/>
  </r>
  <r>
    <s v="ORD200498"/>
    <d v="2023-07-12T00:00:00"/>
    <s v="C73961"/>
    <s v="Tablet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s v="Printer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s v="Laptop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s v="Desk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s v="Monitor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s v="Tablet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s v="Monitor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s v="Printer"/>
    <n v="2"/>
    <n v="434.97"/>
    <s v="558 Main St"/>
    <x v="1"/>
    <x v="0"/>
    <s v="TRK97246526"/>
    <n v="7"/>
    <s v="NO COUPON"/>
    <x v="2"/>
    <n v="869.94"/>
  </r>
  <r>
    <s v="ORD200506"/>
    <d v="2023-07-25T00:00:00"/>
    <s v="C23279"/>
    <s v="Monitor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s v="Phone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s v="Phone"/>
    <n v="1"/>
    <n v="558.27"/>
    <s v="976 Main St"/>
    <x v="1"/>
    <x v="3"/>
    <s v="TRK24120267"/>
    <n v="1"/>
    <s v="NO COUPON"/>
    <x v="1"/>
    <n v="558.27"/>
  </r>
  <r>
    <s v="ORD200509"/>
    <d v="2023-02-15T00:00:00"/>
    <s v="C68937"/>
    <s v="Laptop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s v="Printer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s v="Monitor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s v="Desk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s v="Tablet"/>
    <n v="3"/>
    <n v="94.88"/>
    <s v="533 Main St"/>
    <x v="3"/>
    <x v="0"/>
    <s v="TRK37053575"/>
    <n v="8"/>
    <s v="NO COUPON"/>
    <x v="1"/>
    <n v="284.64"/>
  </r>
  <r>
    <s v="ORD200514"/>
    <d v="2023-04-16T00:00:00"/>
    <s v="C15629"/>
    <s v="Printer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s v="Phone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s v="Monitor"/>
    <n v="3"/>
    <n v="166.99"/>
    <s v="208 Main St"/>
    <x v="4"/>
    <x v="2"/>
    <s v="TRK28855040"/>
    <n v="8"/>
    <s v="NO COUPON"/>
    <x v="3"/>
    <n v="500.97"/>
  </r>
  <r>
    <s v="ORD200517"/>
    <d v="2024-04-09T00:00:00"/>
    <s v="C55205"/>
    <s v="Tablet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s v="Printer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s v="Laptop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s v="Monitor"/>
    <n v="3"/>
    <n v="635.98"/>
    <s v="959 Main St"/>
    <x v="4"/>
    <x v="2"/>
    <s v="TRK27063398"/>
    <n v="5"/>
    <s v="NO COUPON"/>
    <x v="1"/>
    <n v="1907.94"/>
  </r>
  <r>
    <s v="ORD200521"/>
    <d v="2024-02-25T00:00:00"/>
    <s v="C82318"/>
    <s v="Phone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s v="C66254"/>
    <s v="Chair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s v="Desk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s v="Phone"/>
    <n v="1"/>
    <n v="153"/>
    <s v="103 Main St"/>
    <x v="2"/>
    <x v="2"/>
    <s v="TRK92617366"/>
    <n v="4"/>
    <s v="NO COUPON"/>
    <x v="1"/>
    <n v="153"/>
  </r>
  <r>
    <s v="ORD200525"/>
    <d v="2023-12-03T00:00:00"/>
    <s v="C54499"/>
    <s v="Monitor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s v="Desk"/>
    <n v="2"/>
    <n v="46.5"/>
    <s v="837 Main St"/>
    <x v="4"/>
    <x v="2"/>
    <s v="TRK63526023"/>
    <n v="7"/>
    <s v="WINTER15"/>
    <x v="4"/>
    <n v="93"/>
  </r>
  <r>
    <s v="ORD200527"/>
    <d v="2024-08-19T00:00:00"/>
    <s v="C27202"/>
    <s v="Chair"/>
    <n v="5"/>
    <n v="653.47"/>
    <s v="967 Main St"/>
    <x v="2"/>
    <x v="1"/>
    <s v="TRK75406128"/>
    <n v="10"/>
    <s v="SAVE10"/>
    <x v="1"/>
    <n v="3267.3500000000004"/>
  </r>
  <r>
    <s v="ORD200528"/>
    <d v="2025-02-26T00:00:00"/>
    <s v="C32011"/>
    <s v="Chair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s v="Tablet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s v="Chair"/>
    <n v="4"/>
    <n v="89.41"/>
    <s v="613 Main St"/>
    <x v="1"/>
    <x v="4"/>
    <s v="TRK14809530"/>
    <n v="9"/>
    <s v="NO COUPON"/>
    <x v="4"/>
    <n v="357.64"/>
  </r>
  <r>
    <s v="ORD200531"/>
    <d v="2024-07-02T00:00:00"/>
    <s v="C64502"/>
    <s v="Desk"/>
    <n v="5"/>
    <n v="320.01"/>
    <s v="722 Main St"/>
    <x v="3"/>
    <x v="3"/>
    <s v="TRK14914388"/>
    <n v="6"/>
    <s v="NO COUPON"/>
    <x v="1"/>
    <n v="1600.05"/>
  </r>
  <r>
    <s v="ORD200532"/>
    <d v="2025-05-03T00:00:00"/>
    <s v="C47365"/>
    <s v="Laptop"/>
    <n v="2"/>
    <n v="41"/>
    <s v="369 Main St"/>
    <x v="1"/>
    <x v="3"/>
    <s v="TRK42207882"/>
    <n v="7"/>
    <s v="NO COUPON"/>
    <x v="2"/>
    <n v="82"/>
  </r>
  <r>
    <s v="ORD200533"/>
    <d v="2023-03-05T00:00:00"/>
    <s v="C66349"/>
    <s v="Desk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s v="Chair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s v="Monitor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s v="Chair"/>
    <n v="1"/>
    <n v="616.1"/>
    <s v="124 Main St"/>
    <x v="4"/>
    <x v="2"/>
    <s v="TRK52508861"/>
    <n v="6"/>
    <s v="NO COUPON"/>
    <x v="2"/>
    <n v="616.1"/>
  </r>
  <r>
    <s v="ORD200537"/>
    <d v="2025-03-23T00:00:00"/>
    <s v="C68553"/>
    <s v="Tablet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s v="Phone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s v="Desk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s v="Laptop"/>
    <n v="5"/>
    <n v="648.65"/>
    <s v="852 Main St"/>
    <x v="1"/>
    <x v="4"/>
    <s v="TRK81765057"/>
    <n v="7"/>
    <s v="NO COUPON"/>
    <x v="1"/>
    <n v="3243.25"/>
  </r>
  <r>
    <s v="ORD200541"/>
    <d v="2023-08-07T00:00:00"/>
    <s v="C69009"/>
    <s v="Printer"/>
    <n v="5"/>
    <n v="456.06"/>
    <s v="879 Main St"/>
    <x v="4"/>
    <x v="4"/>
    <s v="TRK61295842"/>
    <n v="10"/>
    <s v="NO COUPON"/>
    <x v="0"/>
    <n v="2280.3000000000002"/>
  </r>
  <r>
    <s v="ORD200542"/>
    <d v="2023-11-14T00:00:00"/>
    <s v="C49726"/>
    <s v="Tablet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s v="Desk"/>
    <n v="5"/>
    <n v="269.86"/>
    <s v="354 Main St"/>
    <x v="4"/>
    <x v="0"/>
    <s v="TRK93877673"/>
    <n v="6"/>
    <s v="WINTER15"/>
    <x v="3"/>
    <n v="1349.3000000000002"/>
  </r>
  <r>
    <s v="ORD200544"/>
    <d v="2024-03-10T00:00:00"/>
    <s v="C48713"/>
    <s v="Printer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s v="Monitor"/>
    <n v="2"/>
    <n v="98.47"/>
    <s v="964 Main St"/>
    <x v="4"/>
    <x v="2"/>
    <s v="TRK74091695"/>
    <n v="3"/>
    <s v="NO COUPON"/>
    <x v="0"/>
    <n v="196.94"/>
  </r>
  <r>
    <s v="ORD200546"/>
    <d v="2024-03-01T00:00:00"/>
    <s v="C82399"/>
    <s v="Monitor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s v="Phone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s v="Printer"/>
    <n v="3"/>
    <n v="426.12"/>
    <s v="922 Main St"/>
    <x v="1"/>
    <x v="3"/>
    <s v="TRK64398650"/>
    <n v="5"/>
    <s v="WINTER15"/>
    <x v="0"/>
    <n v="1278.3600000000001"/>
  </r>
  <r>
    <s v="ORD200549"/>
    <d v="2025-02-25T00:00:00"/>
    <s v="C34266"/>
    <s v="Monitor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s v="Laptop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s v="Laptop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s v="Chair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s v="Phone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s v="Laptop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s v="Tablet"/>
    <n v="1"/>
    <n v="92.04"/>
    <s v="333 Main St"/>
    <x v="4"/>
    <x v="0"/>
    <s v="TRK89306964"/>
    <n v="2"/>
    <s v="NO COUPON"/>
    <x v="3"/>
    <n v="92.04"/>
  </r>
  <r>
    <s v="ORD200556"/>
    <d v="2023-01-28T00:00:00"/>
    <s v="C30923"/>
    <s v="Laptop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s v="Tablet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s v="Phone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s v="Desk"/>
    <n v="3"/>
    <n v="157.4"/>
    <s v="454 Main St"/>
    <x v="0"/>
    <x v="1"/>
    <s v="TRK10115285"/>
    <n v="7"/>
    <s v="WINTER15"/>
    <x v="2"/>
    <n v="472.20000000000005"/>
  </r>
  <r>
    <s v="ORD200560"/>
    <d v="2023-01-31T00:00:00"/>
    <s v="C33634"/>
    <s v="Monitor"/>
    <n v="4"/>
    <n v="588.85"/>
    <s v="524 Main St"/>
    <x v="3"/>
    <x v="4"/>
    <s v="TRK93168008"/>
    <n v="7"/>
    <s v="NO COUPON"/>
    <x v="2"/>
    <n v="2355.4"/>
  </r>
  <r>
    <s v="ORD200561"/>
    <d v="2023-01-31T00:00:00"/>
    <s v="C96822"/>
    <s v="Printer"/>
    <n v="2"/>
    <n v="494.78"/>
    <s v="198 Main St"/>
    <x v="1"/>
    <x v="0"/>
    <s v="TRK89180077"/>
    <n v="2"/>
    <s v="NO COUPON"/>
    <x v="4"/>
    <n v="989.56"/>
  </r>
  <r>
    <s v="ORD200562"/>
    <d v="2023-10-06T00:00:00"/>
    <s v="C76675"/>
    <s v="Laptop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s v="Laptop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s v="Desk"/>
    <n v="5"/>
    <n v="364.28"/>
    <s v="734 Main St"/>
    <x v="2"/>
    <x v="1"/>
    <s v="TRK99446987"/>
    <n v="5"/>
    <s v="WINTER15"/>
    <x v="4"/>
    <n v="1821.3999999999999"/>
  </r>
  <r>
    <s v="ORD200565"/>
    <d v="2023-05-14T00:00:00"/>
    <s v="C62042"/>
    <s v="Tablet"/>
    <n v="5"/>
    <n v="307.98"/>
    <s v="214 Main St"/>
    <x v="1"/>
    <x v="4"/>
    <s v="TRK42605492"/>
    <n v="10"/>
    <s v="NO COUPON"/>
    <x v="3"/>
    <n v="1539.9"/>
  </r>
  <r>
    <s v="ORD200566"/>
    <d v="2024-04-18T00:00:00"/>
    <s v="C83223"/>
    <s v="Phone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s v="Chair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s v="Laptop"/>
    <n v="2"/>
    <n v="343.99"/>
    <s v="312 Main St"/>
    <x v="1"/>
    <x v="3"/>
    <s v="TRK72334047"/>
    <n v="4"/>
    <s v="NO COUPON"/>
    <x v="4"/>
    <n v="687.98"/>
  </r>
  <r>
    <s v="ORD200569"/>
    <d v="2025-03-22T00:00:00"/>
    <s v="C25783"/>
    <s v="Desk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s v="Desk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s v="Tablet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s v="Printer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s v="Chair"/>
    <n v="5"/>
    <n v="421.42"/>
    <s v="522 Main St"/>
    <x v="0"/>
    <x v="1"/>
    <s v="TRK30686578"/>
    <n v="7"/>
    <s v="NO COUPON"/>
    <x v="0"/>
    <n v="2107.1"/>
  </r>
  <r>
    <s v="ORD200574"/>
    <d v="2024-01-24T00:00:00"/>
    <s v="C29685"/>
    <s v="Chair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s v="Chair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s v="Laptop"/>
    <n v="5"/>
    <n v="79.08"/>
    <s v="747 Main St"/>
    <x v="4"/>
    <x v="4"/>
    <s v="TRK42517811"/>
    <n v="8"/>
    <s v="NO COUPON"/>
    <x v="3"/>
    <n v="395.4"/>
  </r>
  <r>
    <s v="ORD200577"/>
    <d v="2023-01-22T00:00:00"/>
    <s v="C77046"/>
    <s v="Tablet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s v="Monitor"/>
    <n v="5"/>
    <n v="566.07000000000005"/>
    <s v="587 Main St"/>
    <x v="2"/>
    <x v="3"/>
    <s v="TRK41345634"/>
    <n v="6"/>
    <s v="SAVE10"/>
    <x v="0"/>
    <n v="2830.3500000000004"/>
  </r>
  <r>
    <s v="ORD200579"/>
    <d v="2023-06-04T00:00:00"/>
    <s v="C73999"/>
    <s v="Tablet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s v="Monitor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s v="Laptop"/>
    <n v="1"/>
    <n v="627.34"/>
    <s v="942 Main St"/>
    <x v="1"/>
    <x v="3"/>
    <s v="TRK87158684"/>
    <n v="1"/>
    <s v="NO COUPON"/>
    <x v="1"/>
    <n v="627.34"/>
  </r>
  <r>
    <s v="ORD200582"/>
    <d v="2024-02-19T00:00:00"/>
    <s v="C15228"/>
    <s v="Tablet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s v="Chair"/>
    <n v="3"/>
    <n v="154.37"/>
    <s v="996 Main St"/>
    <x v="3"/>
    <x v="3"/>
    <s v="TRK29750379"/>
    <n v="4"/>
    <s v="NO COUPON"/>
    <x v="0"/>
    <n v="463.11"/>
  </r>
  <r>
    <s v="ORD200584"/>
    <d v="2025-03-21T00:00:00"/>
    <s v="C15257"/>
    <s v="Chair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s v="Tablet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s v="Monitor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s v="Monitor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s v="Monitor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s v="C84041"/>
    <s v="Laptop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s v="Printer"/>
    <n v="2"/>
    <n v="461.13"/>
    <s v="175 Main St"/>
    <x v="3"/>
    <x v="2"/>
    <s v="TRK27356242"/>
    <n v="4"/>
    <s v="NO COUPON"/>
    <x v="2"/>
    <n v="922.26"/>
  </r>
  <r>
    <s v="ORD200591"/>
    <d v="2024-11-18T00:00:00"/>
    <s v="C18187"/>
    <s v="Laptop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s v="Phone"/>
    <n v="3"/>
    <n v="204.27"/>
    <s v="938 Main St"/>
    <x v="1"/>
    <x v="2"/>
    <s v="TRK15499648"/>
    <n v="4"/>
    <s v="NO COUPON"/>
    <x v="4"/>
    <n v="612.81000000000006"/>
  </r>
  <r>
    <s v="ORD200593"/>
    <d v="2023-08-02T00:00:00"/>
    <s v="C51024"/>
    <s v="Monitor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s v="Phone"/>
    <n v="5"/>
    <n v="72.64"/>
    <s v="598 Main St"/>
    <x v="2"/>
    <x v="1"/>
    <s v="TRK12671989"/>
    <n v="7"/>
    <s v="NO COUPON"/>
    <x v="2"/>
    <n v="363.2"/>
  </r>
  <r>
    <s v="ORD200595"/>
    <d v="2025-01-10T00:00:00"/>
    <s v="C72596"/>
    <s v="Printer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s v="Desk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s v="Desk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s v="Desk"/>
    <n v="5"/>
    <n v="495.35"/>
    <s v="826 Main St"/>
    <x v="2"/>
    <x v="4"/>
    <s v="TRK59069987"/>
    <n v="5"/>
    <s v="NO COUPON"/>
    <x v="3"/>
    <n v="2476.75"/>
  </r>
  <r>
    <s v="ORD200599"/>
    <d v="2023-06-30T00:00:00"/>
    <s v="C28740"/>
    <s v="Chair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s v="Printer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s v="Monitor"/>
    <n v="5"/>
    <n v="24.82"/>
    <s v="529 Main St"/>
    <x v="2"/>
    <x v="0"/>
    <s v="TRK73935314"/>
    <n v="10"/>
    <s v="NO COUPON"/>
    <x v="1"/>
    <n v="124.1"/>
  </r>
  <r>
    <s v="ORD200602"/>
    <d v="2024-03-05T00:00:00"/>
    <s v="C35852"/>
    <s v="Tablet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s v="Tablet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s v="Chair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s v="C49605"/>
    <s v="Monitor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s v="Laptop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s v="Printer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s v="Laptop"/>
    <n v="5"/>
    <n v="543.16"/>
    <s v="788 Main St"/>
    <x v="1"/>
    <x v="1"/>
    <s v="TRK73140103"/>
    <n v="6"/>
    <s v="SAVE10"/>
    <x v="0"/>
    <n v="2715.7999999999997"/>
  </r>
  <r>
    <s v="ORD200609"/>
    <d v="2025-01-27T00:00:00"/>
    <s v="C41137"/>
    <s v="Chair"/>
    <n v="3"/>
    <n v="449.13"/>
    <s v="809 Main St"/>
    <x v="4"/>
    <x v="2"/>
    <s v="TRK52732162"/>
    <n v="5"/>
    <s v="WINTER15"/>
    <x v="1"/>
    <n v="1347.3899999999999"/>
  </r>
  <r>
    <s v="ORD200610"/>
    <d v="2024-06-16T00:00:00"/>
    <s v="C60361"/>
    <s v="Desk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s v="Desk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s v="Chair"/>
    <n v="3"/>
    <n v="445.12"/>
    <s v="339 Main St"/>
    <x v="3"/>
    <x v="1"/>
    <s v="TRK82377939"/>
    <n v="8"/>
    <s v="NO COUPON"/>
    <x v="4"/>
    <n v="1335.3600000000001"/>
  </r>
  <r>
    <s v="ORD200613"/>
    <d v="2024-12-19T00:00:00"/>
    <s v="C62405"/>
    <s v="Laptop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s v="Phone"/>
    <n v="1"/>
    <n v="96.81"/>
    <s v="807 Main St"/>
    <x v="3"/>
    <x v="1"/>
    <s v="TRK12439827"/>
    <n v="3"/>
    <s v="NO COUPON"/>
    <x v="1"/>
    <n v="96.81"/>
  </r>
  <r>
    <s v="ORD200615"/>
    <d v="2025-03-07T00:00:00"/>
    <s v="C97218"/>
    <s v="Monitor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s v="Tablet"/>
    <n v="3"/>
    <n v="601.6"/>
    <s v="984 Main St"/>
    <x v="2"/>
    <x v="1"/>
    <s v="TRK73113192"/>
    <n v="7"/>
    <s v="SAVE10"/>
    <x v="3"/>
    <n v="1804.8000000000002"/>
  </r>
  <r>
    <s v="ORD200617"/>
    <d v="2024-02-08T00:00:00"/>
    <s v="C57093"/>
    <s v="Tablet"/>
    <n v="3"/>
    <n v="184.47"/>
    <s v="834 Main St"/>
    <x v="1"/>
    <x v="1"/>
    <s v="TRK75469057"/>
    <n v="4"/>
    <s v="NO COUPON"/>
    <x v="1"/>
    <n v="553.41"/>
  </r>
  <r>
    <s v="ORD200618"/>
    <d v="2024-09-03T00:00:00"/>
    <s v="C50565"/>
    <s v="Tablet"/>
    <n v="1"/>
    <n v="411.34"/>
    <s v="399 Main St"/>
    <x v="0"/>
    <x v="2"/>
    <s v="TRK97981418"/>
    <n v="5"/>
    <s v="NO COUPON"/>
    <x v="0"/>
    <n v="411.34"/>
  </r>
  <r>
    <s v="ORD200619"/>
    <d v="2024-07-16T00:00:00"/>
    <s v="C38845"/>
    <s v="Laptop"/>
    <n v="1"/>
    <n v="532.89"/>
    <s v="764 Main St"/>
    <x v="3"/>
    <x v="4"/>
    <s v="TRK47637374"/>
    <n v="2"/>
    <s v="NO COUPON"/>
    <x v="1"/>
    <n v="532.89"/>
  </r>
  <r>
    <s v="ORD200620"/>
    <d v="2024-03-27T00:00:00"/>
    <s v="C84834"/>
    <s v="Tablet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s v="Phone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s v="Desk"/>
    <n v="5"/>
    <n v="236.38"/>
    <s v="128 Main St"/>
    <x v="2"/>
    <x v="2"/>
    <s v="TRK89314307"/>
    <n v="7"/>
    <s v="NO COUPON"/>
    <x v="3"/>
    <n v="1181.9000000000001"/>
  </r>
  <r>
    <s v="ORD200623"/>
    <d v="2023-06-16T00:00:00"/>
    <s v="C91941"/>
    <s v="Printer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s v="Tablet"/>
    <n v="5"/>
    <n v="341.96"/>
    <s v="747 Main St"/>
    <x v="0"/>
    <x v="3"/>
    <s v="TRK88559278"/>
    <n v="6"/>
    <s v="NO COUPON"/>
    <x v="2"/>
    <n v="1709.8"/>
  </r>
  <r>
    <s v="ORD200625"/>
    <d v="2023-09-24T00:00:00"/>
    <s v="C22123"/>
    <s v="Tablet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s v="Tablet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s v="Chair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s v="Printer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s v="Phone"/>
    <n v="3"/>
    <n v="19.73"/>
    <s v="840 Main St"/>
    <x v="1"/>
    <x v="4"/>
    <s v="TRK91836131"/>
    <n v="3"/>
    <s v="NO COUPON"/>
    <x v="1"/>
    <n v="59.19"/>
  </r>
  <r>
    <s v="ORD200630"/>
    <d v="2023-06-23T00:00:00"/>
    <s v="C51481"/>
    <s v="Monitor"/>
    <n v="5"/>
    <n v="248.84"/>
    <s v="140 Main St"/>
    <x v="0"/>
    <x v="1"/>
    <s v="TRK33437701"/>
    <n v="10"/>
    <s v="NO COUPON"/>
    <x v="0"/>
    <n v="1244.2"/>
  </r>
  <r>
    <s v="ORD200631"/>
    <d v="2024-08-31T00:00:00"/>
    <s v="C99128"/>
    <s v="Chair"/>
    <n v="3"/>
    <n v="46.11"/>
    <s v="360 Main St"/>
    <x v="3"/>
    <x v="2"/>
    <s v="TRK32426808"/>
    <n v="5"/>
    <s v="WINTER15"/>
    <x v="1"/>
    <n v="138.32999999999998"/>
  </r>
  <r>
    <s v="ORD200632"/>
    <d v="2023-05-02T00:00:00"/>
    <s v="C67260"/>
    <s v="Laptop"/>
    <n v="5"/>
    <n v="678.16"/>
    <s v="463 Main St"/>
    <x v="3"/>
    <x v="3"/>
    <s v="TRK38229104"/>
    <n v="7"/>
    <s v="WINTER15"/>
    <x v="3"/>
    <n v="3390.7999999999997"/>
  </r>
  <r>
    <s v="ORD200633"/>
    <d v="2024-04-10T00:00:00"/>
    <s v="C79533"/>
    <s v="Laptop"/>
    <n v="5"/>
    <n v="601.72"/>
    <s v="921 Main St"/>
    <x v="3"/>
    <x v="1"/>
    <s v="TRK54711422"/>
    <n v="5"/>
    <s v="WINTER15"/>
    <x v="0"/>
    <n v="3008.6000000000004"/>
  </r>
  <r>
    <s v="ORD200634"/>
    <d v="2024-04-25T00:00:00"/>
    <s v="C66906"/>
    <s v="Printer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s v="Chair"/>
    <n v="3"/>
    <n v="63.68"/>
    <s v="434 Main St"/>
    <x v="4"/>
    <x v="2"/>
    <s v="TRK40879983"/>
    <n v="6"/>
    <s v="NO COUPON"/>
    <x v="3"/>
    <n v="191.04"/>
  </r>
  <r>
    <s v="ORD200636"/>
    <d v="2023-10-05T00:00:00"/>
    <s v="C60384"/>
    <s v="Laptop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s v="Chair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s v="Tablet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s v="Chair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s v="C46509"/>
    <s v="Chair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s v="Printer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s v="Chair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s v="Laptop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s v="Chair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s v="Laptop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s v="Chair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s v="Desk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s v="Monitor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s v="Monitor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s v="Desk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s v="Chair"/>
    <n v="3"/>
    <n v="646.34"/>
    <s v="429 Main St"/>
    <x v="0"/>
    <x v="4"/>
    <s v="TRK76931118"/>
    <n v="5"/>
    <s v="NO COUPON"/>
    <x v="4"/>
    <n v="1939.02"/>
  </r>
  <r>
    <s v="ORD200652"/>
    <d v="2024-06-05T00:00:00"/>
    <s v="C71473"/>
    <s v="Chair"/>
    <n v="5"/>
    <n v="341.84"/>
    <s v="328 Main St"/>
    <x v="1"/>
    <x v="0"/>
    <s v="TRK94857335"/>
    <n v="8"/>
    <s v="FREESHIP"/>
    <x v="0"/>
    <n v="1709.1999999999998"/>
  </r>
  <r>
    <s v="ORD200653"/>
    <d v="2024-02-25T00:00:00"/>
    <s v="C59338"/>
    <s v="Printer"/>
    <n v="3"/>
    <n v="690.3"/>
    <s v="747 Main St"/>
    <x v="2"/>
    <x v="0"/>
    <s v="TRK12902764"/>
    <n v="6"/>
    <s v="WINTER15"/>
    <x v="4"/>
    <n v="2070.8999999999996"/>
  </r>
  <r>
    <s v="ORD200654"/>
    <d v="2023-06-12T00:00:00"/>
    <s v="C62661"/>
    <s v="Tablet"/>
    <n v="3"/>
    <n v="382.37"/>
    <s v="863 Main St"/>
    <x v="0"/>
    <x v="2"/>
    <s v="TRK25748100"/>
    <n v="8"/>
    <s v="NO COUPON"/>
    <x v="0"/>
    <n v="1147.1100000000001"/>
  </r>
  <r>
    <s v="ORD200655"/>
    <d v="2023-03-14T00:00:00"/>
    <s v="C22101"/>
    <s v="Chair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s v="Monitor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s v="Tablet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s v="Printer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s v="Phone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s v="Chair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s v="Tablet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s v="Laptop"/>
    <n v="3"/>
    <n v="438.89"/>
    <s v="985 Main St"/>
    <x v="4"/>
    <x v="2"/>
    <s v="TRK85744797"/>
    <n v="3"/>
    <s v="NO COUPON"/>
    <x v="3"/>
    <n v="1316.67"/>
  </r>
  <r>
    <s v="ORD200663"/>
    <d v="2024-04-15T00:00:00"/>
    <s v="C59774"/>
    <s v="Monitor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s v="Laptop"/>
    <n v="4"/>
    <n v="194.75"/>
    <s v="188 Main St"/>
    <x v="4"/>
    <x v="0"/>
    <s v="TRK46492755"/>
    <n v="5"/>
    <s v="NO COUPON"/>
    <x v="3"/>
    <n v="779"/>
  </r>
  <r>
    <s v="ORD200665"/>
    <d v="2023-05-02T00:00:00"/>
    <s v="C83653"/>
    <s v="Tablet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s v="Monitor"/>
    <n v="4"/>
    <n v="327.12"/>
    <s v="788 Main St"/>
    <x v="2"/>
    <x v="1"/>
    <s v="TRK45281495"/>
    <n v="4"/>
    <s v="NO COUPON"/>
    <x v="2"/>
    <n v="1308.48"/>
  </r>
  <r>
    <s v="ORD200667"/>
    <d v="2023-05-03T00:00:00"/>
    <s v="C10477"/>
    <s v="Laptop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s v="Monitor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s v="Desk"/>
    <n v="1"/>
    <n v="257"/>
    <s v="812 Main St"/>
    <x v="0"/>
    <x v="1"/>
    <s v="TRK65694249"/>
    <n v="5"/>
    <s v="NO COUPON"/>
    <x v="1"/>
    <n v="257"/>
  </r>
  <r>
    <s v="ORD200670"/>
    <d v="2024-04-18T00:00:00"/>
    <s v="C14576"/>
    <s v="Desk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s v="Chair"/>
    <n v="5"/>
    <n v="50.74"/>
    <s v="737 Main St"/>
    <x v="3"/>
    <x v="1"/>
    <s v="TRK88653901"/>
    <n v="7"/>
    <s v="WINTER15"/>
    <x v="4"/>
    <n v="253.70000000000002"/>
  </r>
  <r>
    <s v="ORD200672"/>
    <d v="2023-05-09T00:00:00"/>
    <s v="C14017"/>
    <s v="Phone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s v="Tablet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s v="Laptop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s v="Desk"/>
    <n v="3"/>
    <n v="342.02"/>
    <s v="906 Main St"/>
    <x v="0"/>
    <x v="4"/>
    <s v="TRK90233116"/>
    <n v="5"/>
    <s v="NO COUPON"/>
    <x v="2"/>
    <n v="1026.06"/>
  </r>
  <r>
    <s v="ORD200676"/>
    <d v="2025-06-23T00:00:00"/>
    <s v="C90431"/>
    <s v="Laptop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s v="Tablet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s v="Chair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s v="Tablet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s v="Monitor"/>
    <n v="3"/>
    <n v="463.39"/>
    <s v="694 Main St"/>
    <x v="2"/>
    <x v="2"/>
    <s v="TRK16953491"/>
    <n v="3"/>
    <s v="NO COUPON"/>
    <x v="3"/>
    <n v="1390.17"/>
  </r>
  <r>
    <s v="ORD200681"/>
    <d v="2024-01-30T00:00:00"/>
    <s v="C38262"/>
    <s v="Tablet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s v="C50274"/>
    <s v="Monitor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s v="Desk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s v="Printer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s v="C64579"/>
    <s v="Desk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s v="Desk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s v="Tablet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s v="Monitor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s v="Tablet"/>
    <n v="2"/>
    <n v="444.84"/>
    <s v="787 Main St"/>
    <x v="1"/>
    <x v="0"/>
    <s v="TRK56967415"/>
    <n v="7"/>
    <s v="NO COUPON"/>
    <x v="3"/>
    <n v="889.68"/>
  </r>
  <r>
    <s v="ORD200690"/>
    <d v="2024-07-12T00:00:00"/>
    <s v="C29318"/>
    <s v="Monitor"/>
    <n v="1"/>
    <n v="24.48"/>
    <s v="128 Main St"/>
    <x v="3"/>
    <x v="2"/>
    <s v="TRK88666721"/>
    <n v="1"/>
    <s v="NO COUPON"/>
    <x v="0"/>
    <n v="24.48"/>
  </r>
  <r>
    <s v="ORD200691"/>
    <d v="2024-11-24T00:00:00"/>
    <s v="C36137"/>
    <s v="Laptop"/>
    <n v="3"/>
    <n v="239.08"/>
    <s v="396 Main St"/>
    <x v="4"/>
    <x v="0"/>
    <s v="TRK57376416"/>
    <n v="8"/>
    <s v="NO COUPON"/>
    <x v="4"/>
    <n v="717.24"/>
  </r>
  <r>
    <s v="ORD200692"/>
    <d v="2023-01-23T00:00:00"/>
    <s v="C25534"/>
    <s v="Desk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s v="Monitor"/>
    <n v="1"/>
    <n v="176.58"/>
    <s v="674 Main St"/>
    <x v="0"/>
    <x v="2"/>
    <s v="TRK10267127"/>
    <n v="4"/>
    <s v="NO COUPON"/>
    <x v="1"/>
    <n v="176.58"/>
  </r>
  <r>
    <s v="ORD200694"/>
    <d v="2023-10-02T00:00:00"/>
    <s v="C92049"/>
    <s v="Printer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s v="Printer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s v="Chair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s v="Printer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s v="Laptop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s v="Laptop"/>
    <n v="3"/>
    <n v="614.15"/>
    <s v="897 Main St"/>
    <x v="3"/>
    <x v="1"/>
    <s v="TRK84088900"/>
    <n v="3"/>
    <s v="NO COUPON"/>
    <x v="3"/>
    <n v="1842.4499999999998"/>
  </r>
  <r>
    <s v="ORD200700"/>
    <d v="2024-09-25T00:00:00"/>
    <s v="C40201"/>
    <s v="Laptop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s v="Monitor"/>
    <n v="3"/>
    <n v="92.22"/>
    <s v="115 Main St"/>
    <x v="2"/>
    <x v="3"/>
    <s v="TRK90519490"/>
    <n v="5"/>
    <s v="FREESHIP"/>
    <x v="2"/>
    <n v="276.65999999999997"/>
  </r>
  <r>
    <s v="ORD200702"/>
    <d v="2024-06-09T00:00:00"/>
    <s v="C33315"/>
    <s v="Printer"/>
    <n v="3"/>
    <n v="562.54999999999995"/>
    <s v="154 Main St"/>
    <x v="0"/>
    <x v="2"/>
    <s v="TRK43589369"/>
    <n v="6"/>
    <s v="NO COUPON"/>
    <x v="2"/>
    <n v="1687.6499999999999"/>
  </r>
  <r>
    <s v="ORD200703"/>
    <d v="2023-03-22T00:00:00"/>
    <s v="C89336"/>
    <s v="Desk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s v="Desk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s v="Monitor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s v="Desk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s v="Chair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s v="Printer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s v="Desk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s v="Laptop"/>
    <n v="5"/>
    <n v="21.54"/>
    <s v="113 Main St"/>
    <x v="3"/>
    <x v="2"/>
    <s v="TRK19086608"/>
    <n v="10"/>
    <s v="NO COUPON"/>
    <x v="4"/>
    <n v="107.69999999999999"/>
  </r>
  <r>
    <s v="ORD200711"/>
    <d v="2024-07-04T00:00:00"/>
    <s v="C61070"/>
    <s v="Tablet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s v="Tablet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s v="Tablet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s v="Laptop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s v="Printer"/>
    <n v="3"/>
    <n v="653.63"/>
    <s v="281 Main St"/>
    <x v="1"/>
    <x v="3"/>
    <s v="TRK96161062"/>
    <n v="7"/>
    <s v="FREESHIP"/>
    <x v="2"/>
    <n v="1960.8899999999999"/>
  </r>
  <r>
    <s v="ORD200716"/>
    <d v="2024-06-13T00:00:00"/>
    <s v="C84115"/>
    <s v="Chair"/>
    <n v="3"/>
    <n v="454.29"/>
    <s v="891 Main St"/>
    <x v="2"/>
    <x v="4"/>
    <s v="TRK25466842"/>
    <n v="4"/>
    <s v="WINTER15"/>
    <x v="4"/>
    <n v="1362.8700000000001"/>
  </r>
  <r>
    <s v="ORD200717"/>
    <d v="2023-10-16T00:00:00"/>
    <s v="C50087"/>
    <s v="Chair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s v="Laptop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s v="Laptop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s v="Desk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s v="Desk"/>
    <n v="2"/>
    <n v="118.59"/>
    <s v="890 Main St"/>
    <x v="2"/>
    <x v="3"/>
    <s v="TRK56110689"/>
    <n v="2"/>
    <s v="NO COUPON"/>
    <x v="2"/>
    <n v="237.18"/>
  </r>
  <r>
    <s v="ORD200722"/>
    <d v="2024-11-15T00:00:00"/>
    <s v="C58156"/>
    <s v="Printer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s v="Desk"/>
    <n v="3"/>
    <n v="54.95"/>
    <s v="385 Main St"/>
    <x v="4"/>
    <x v="2"/>
    <s v="TRK50933724"/>
    <n v="8"/>
    <s v="SAVE10"/>
    <x v="1"/>
    <n v="164.85000000000002"/>
  </r>
  <r>
    <s v="ORD200724"/>
    <d v="2024-10-18T00:00:00"/>
    <s v="C63150"/>
    <s v="Printer"/>
    <n v="3"/>
    <n v="136.97"/>
    <s v="326 Main St"/>
    <x v="2"/>
    <x v="2"/>
    <s v="TRK19348078"/>
    <n v="4"/>
    <s v="FREESHIP"/>
    <x v="1"/>
    <n v="410.90999999999997"/>
  </r>
  <r>
    <s v="ORD200725"/>
    <d v="2023-03-12T00:00:00"/>
    <s v="C95269"/>
    <s v="Chair"/>
    <n v="2"/>
    <n v="194.85"/>
    <s v="372 Main St"/>
    <x v="3"/>
    <x v="2"/>
    <s v="TRK45670926"/>
    <n v="5"/>
    <s v="NO COUPON"/>
    <x v="1"/>
    <n v="389.7"/>
  </r>
  <r>
    <s v="ORD200726"/>
    <d v="2024-10-25T00:00:00"/>
    <s v="C18105"/>
    <s v="Laptop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s v="Chair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s v="Desk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s v="Phone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s v="Phone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s v="Printer"/>
    <n v="5"/>
    <n v="584.46"/>
    <s v="308 Main St"/>
    <x v="2"/>
    <x v="2"/>
    <s v="TRK48292586"/>
    <n v="8"/>
    <s v="NO COUPON"/>
    <x v="2"/>
    <n v="2922.3"/>
  </r>
  <r>
    <s v="ORD200732"/>
    <d v="2025-03-07T00:00:00"/>
    <s v="C80987"/>
    <s v="Laptop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s v="C90757"/>
    <s v="Tablet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s v="Printer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s v="Monitor"/>
    <n v="4"/>
    <n v="44.07"/>
    <s v="359 Main St"/>
    <x v="0"/>
    <x v="4"/>
    <s v="TRK13443264"/>
    <n v="6"/>
    <s v="NO COUPON"/>
    <x v="2"/>
    <n v="176.28"/>
  </r>
  <r>
    <s v="ORD200736"/>
    <d v="2024-02-09T00:00:00"/>
    <s v="C59441"/>
    <s v="Monitor"/>
    <n v="5"/>
    <n v="418.53"/>
    <s v="696 Main St"/>
    <x v="2"/>
    <x v="4"/>
    <s v="TRK66186874"/>
    <n v="6"/>
    <s v="FREESHIP"/>
    <x v="4"/>
    <n v="2092.6499999999996"/>
  </r>
  <r>
    <s v="ORD200737"/>
    <d v="2024-01-03T00:00:00"/>
    <s v="C91029"/>
    <s v="Phone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s v="Phone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s v="Phone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s v="Desk"/>
    <n v="2"/>
    <n v="377.47"/>
    <s v="433 Main St"/>
    <x v="4"/>
    <x v="4"/>
    <s v="TRK76154554"/>
    <n v="7"/>
    <s v="NO COUPON"/>
    <x v="4"/>
    <n v="754.94"/>
  </r>
  <r>
    <s v="ORD200741"/>
    <d v="2025-01-23T00:00:00"/>
    <s v="C99683"/>
    <s v="Monitor"/>
    <n v="5"/>
    <n v="332.64"/>
    <s v="945 Main St"/>
    <x v="3"/>
    <x v="3"/>
    <s v="TRK87305883"/>
    <n v="10"/>
    <s v="NO COUPON"/>
    <x v="1"/>
    <n v="1663.1999999999998"/>
  </r>
  <r>
    <s v="ORD200742"/>
    <d v="2024-11-30T00:00:00"/>
    <s v="C41974"/>
    <s v="Laptop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s v="Monitor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s v="Tablet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s v="Printer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s v="Desk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s v="Tablet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s v="Tablet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s v="Laptop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s v="Tablet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s v="Tablet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s v="Phone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s v="Phone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s v="Printer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s v="Desk"/>
    <n v="3"/>
    <n v="336.71"/>
    <s v="658 Main St"/>
    <x v="2"/>
    <x v="4"/>
    <s v="TRK60515972"/>
    <n v="4"/>
    <s v="NO COUPON"/>
    <x v="2"/>
    <n v="1010.1299999999999"/>
  </r>
  <r>
    <s v="ORD200756"/>
    <d v="2024-06-27T00:00:00"/>
    <s v="C14080"/>
    <s v="Phone"/>
    <n v="1"/>
    <n v="283.69"/>
    <s v="202 Main St"/>
    <x v="3"/>
    <x v="0"/>
    <s v="TRK93163682"/>
    <n v="6"/>
    <s v="NO COUPON"/>
    <x v="4"/>
    <n v="283.69"/>
  </r>
  <r>
    <s v="ORD200757"/>
    <d v="2024-02-22T00:00:00"/>
    <s v="C81074"/>
    <s v="Desk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s v="Tablet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s v="Desk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s v="Desk"/>
    <n v="1"/>
    <n v="39.56"/>
    <s v="283 Main St"/>
    <x v="0"/>
    <x v="1"/>
    <s v="TRK73324346"/>
    <n v="5"/>
    <s v="NO COUPON"/>
    <x v="4"/>
    <n v="39.56"/>
  </r>
  <r>
    <s v="ORD200761"/>
    <d v="2023-06-02T00:00:00"/>
    <s v="C37235"/>
    <s v="Desk"/>
    <n v="4"/>
    <n v="37.76"/>
    <s v="217 Main St"/>
    <x v="0"/>
    <x v="3"/>
    <s v="TRK67789367"/>
    <n v="7"/>
    <s v="NO COUPON"/>
    <x v="4"/>
    <n v="151.04"/>
  </r>
  <r>
    <s v="ORD200762"/>
    <d v="2024-09-17T00:00:00"/>
    <s v="C12444"/>
    <s v="Phone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s v="Laptop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s v="Laptop"/>
    <n v="5"/>
    <n v="627.42999999999995"/>
    <s v="806 Main St"/>
    <x v="2"/>
    <x v="1"/>
    <s v="TRK14016163"/>
    <n v="10"/>
    <s v="FREESHIP"/>
    <x v="2"/>
    <n v="3137.1499999999996"/>
  </r>
  <r>
    <s v="ORD200765"/>
    <d v="2023-10-06T00:00:00"/>
    <s v="C36150"/>
    <s v="Laptop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s v="Printer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s v="Tablet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s v="C35987"/>
    <s v="Tablet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s v="Printer"/>
    <n v="4"/>
    <n v="678.55"/>
    <s v="568 Main St"/>
    <x v="4"/>
    <x v="3"/>
    <s v="TRK98691410"/>
    <n v="5"/>
    <s v="NO COUPON"/>
    <x v="2"/>
    <n v="2714.2"/>
  </r>
  <r>
    <s v="ORD200770"/>
    <d v="2024-02-11T00:00:00"/>
    <s v="C72166"/>
    <s v="Desk"/>
    <n v="1"/>
    <n v="314.38"/>
    <s v="227 Main St"/>
    <x v="1"/>
    <x v="2"/>
    <s v="TRK67733444"/>
    <n v="6"/>
    <s v="NO COUPON"/>
    <x v="4"/>
    <n v="314.38"/>
  </r>
  <r>
    <s v="ORD200771"/>
    <d v="2024-06-12T00:00:00"/>
    <s v="C20357"/>
    <s v="Phone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s v="Monitor"/>
    <n v="1"/>
    <n v="604.87"/>
    <s v="461 Main St"/>
    <x v="1"/>
    <x v="3"/>
    <s v="TRK25799478"/>
    <n v="4"/>
    <s v="NO COUPON"/>
    <x v="0"/>
    <n v="604.87"/>
  </r>
  <r>
    <s v="ORD200773"/>
    <d v="2025-06-28T00:00:00"/>
    <s v="C99205"/>
    <s v="Phone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s v="C29701"/>
    <s v="Chair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s v="Phone"/>
    <n v="2"/>
    <n v="625.22"/>
    <s v="569 Main St"/>
    <x v="1"/>
    <x v="1"/>
    <s v="TRK22051900"/>
    <n v="5"/>
    <s v="NO COUPON"/>
    <x v="4"/>
    <n v="1250.44"/>
  </r>
  <r>
    <s v="ORD200776"/>
    <d v="2023-08-21T00:00:00"/>
    <s v="C69168"/>
    <s v="Tablet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s v="Chair"/>
    <n v="5"/>
    <n v="64.489999999999995"/>
    <s v="633 Main St"/>
    <x v="1"/>
    <x v="1"/>
    <s v="TRK41967983"/>
    <n v="7"/>
    <s v="NO COUPON"/>
    <x v="3"/>
    <n v="322.45"/>
  </r>
  <r>
    <s v="ORD200778"/>
    <d v="2023-04-28T00:00:00"/>
    <s v="C85059"/>
    <s v="Laptop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s v="Phone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s v="Laptop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s v="Phone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s v="Monitor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s v="Printer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s v="Laptop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s v="Chair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s v="Chair"/>
    <n v="5"/>
    <n v="45.31"/>
    <s v="774 Main St"/>
    <x v="1"/>
    <x v="1"/>
    <s v="TRK99583414"/>
    <n v="8"/>
    <s v="NO COUPON"/>
    <x v="1"/>
    <n v="226.55"/>
  </r>
  <r>
    <s v="ORD200787"/>
    <d v="2024-03-17T00:00:00"/>
    <s v="C18167"/>
    <s v="Desk"/>
    <n v="4"/>
    <n v="221.96"/>
    <s v="193 Main St"/>
    <x v="4"/>
    <x v="3"/>
    <s v="TRK36841089"/>
    <n v="7"/>
    <s v="NO COUPON"/>
    <x v="4"/>
    <n v="887.84"/>
  </r>
  <r>
    <s v="ORD200788"/>
    <d v="2023-11-02T00:00:00"/>
    <s v="C47307"/>
    <s v="Chair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s v="Tablet"/>
    <n v="5"/>
    <n v="691.28"/>
    <s v="183 Main St"/>
    <x v="1"/>
    <x v="3"/>
    <s v="TRK75899752"/>
    <n v="10"/>
    <s v="SAVE10"/>
    <x v="2"/>
    <n v="3456.3999999999996"/>
  </r>
  <r>
    <s v="ORD200790"/>
    <d v="2024-09-14T00:00:00"/>
    <s v="C38928"/>
    <s v="Laptop"/>
    <n v="4"/>
    <n v="417.89"/>
    <s v="302 Main St"/>
    <x v="3"/>
    <x v="4"/>
    <s v="TRK96636009"/>
    <n v="4"/>
    <s v="NO COUPON"/>
    <x v="4"/>
    <n v="1671.56"/>
  </r>
  <r>
    <s v="ORD200791"/>
    <d v="2024-01-13T00:00:00"/>
    <s v="C49710"/>
    <s v="Chair"/>
    <n v="4"/>
    <n v="409.28"/>
    <s v="956 Main St"/>
    <x v="4"/>
    <x v="4"/>
    <s v="TRK92591237"/>
    <n v="8"/>
    <s v="NO COUPON"/>
    <x v="2"/>
    <n v="1637.12"/>
  </r>
  <r>
    <s v="ORD200792"/>
    <d v="2023-06-16T00:00:00"/>
    <s v="C41709"/>
    <s v="Desk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s v="Chair"/>
    <n v="5"/>
    <n v="170.22"/>
    <s v="769 Main St"/>
    <x v="0"/>
    <x v="3"/>
    <s v="TRK69599961"/>
    <n v="8"/>
    <s v="NO COUPON"/>
    <x v="1"/>
    <n v="851.1"/>
  </r>
  <r>
    <s v="ORD200794"/>
    <d v="2023-03-09T00:00:00"/>
    <s v="C76653"/>
    <s v="Printer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s v="Laptop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s v="Phone"/>
    <n v="3"/>
    <n v="579.54999999999995"/>
    <s v="882 Main St"/>
    <x v="3"/>
    <x v="2"/>
    <s v="TRK13349970"/>
    <n v="8"/>
    <s v="WINTER15"/>
    <x v="3"/>
    <n v="1738.6499999999999"/>
  </r>
  <r>
    <s v="ORD200797"/>
    <d v="2023-02-27T00:00:00"/>
    <s v="C36825"/>
    <s v="Laptop"/>
    <n v="2"/>
    <n v="438.76"/>
    <s v="426 Main St"/>
    <x v="0"/>
    <x v="2"/>
    <s v="TRK72557318"/>
    <n v="2"/>
    <s v="NO COUPON"/>
    <x v="3"/>
    <n v="877.52"/>
  </r>
  <r>
    <s v="ORD200798"/>
    <d v="2025-05-19T00:00:00"/>
    <s v="C20861"/>
    <s v="Phone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s v="Laptop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s v="Tablet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s v="Printer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s v="Chair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s v="Monitor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s v="Chair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s v="Laptop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s v="Chair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s v="Monitor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s v="Desk"/>
    <n v="3"/>
    <n v="134.05000000000001"/>
    <s v="192 Main St"/>
    <x v="2"/>
    <x v="0"/>
    <s v="TRK80383756"/>
    <n v="3"/>
    <s v="NO COUPON"/>
    <x v="4"/>
    <n v="402.15000000000003"/>
  </r>
  <r>
    <s v="ORD200809"/>
    <d v="2024-04-09T00:00:00"/>
    <s v="C80416"/>
    <s v="Desk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s v="Tablet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s v="C24769"/>
    <s v="Laptop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s v="Phone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s v="Laptop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s v="Chair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s v="Printer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s v="Tablet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s v="Chair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s v="Phone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s v="Phone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s v="Phone"/>
    <n v="5"/>
    <n v="623.80999999999995"/>
    <s v="171 Main St"/>
    <x v="4"/>
    <x v="2"/>
    <s v="TRK17342157"/>
    <n v="6"/>
    <s v="FREESHIP"/>
    <x v="2"/>
    <n v="3119.0499999999997"/>
  </r>
  <r>
    <s v="ORD200821"/>
    <d v="2024-12-14T00:00:00"/>
    <s v="C40771"/>
    <s v="Laptop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s v="Phone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s v="Laptop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s v="Monitor"/>
    <n v="3"/>
    <n v="481.1"/>
    <s v="664 Main St"/>
    <x v="2"/>
    <x v="2"/>
    <s v="TRK12530495"/>
    <n v="3"/>
    <s v="FREESHIP"/>
    <x v="3"/>
    <n v="1443.3000000000002"/>
  </r>
  <r>
    <s v="ORD200825"/>
    <d v="2025-03-26T00:00:00"/>
    <s v="C23899"/>
    <s v="Desk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s v="Printer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s v="Tablet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s v="Chair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s v="Monitor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s v="Tablet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s v="Printer"/>
    <n v="2"/>
    <n v="88.73"/>
    <s v="140 Main St"/>
    <x v="1"/>
    <x v="4"/>
    <s v="TRK61346824"/>
    <n v="5"/>
    <s v="NO COUPON"/>
    <x v="4"/>
    <n v="177.46"/>
  </r>
  <r>
    <s v="ORD200832"/>
    <d v="2024-03-12T00:00:00"/>
    <s v="C63372"/>
    <s v="Chair"/>
    <n v="5"/>
    <n v="485.71"/>
    <s v="903 Main St"/>
    <x v="1"/>
    <x v="4"/>
    <s v="TRK14661811"/>
    <n v="10"/>
    <s v="SAVE10"/>
    <x v="1"/>
    <n v="2428.5499999999997"/>
  </r>
  <r>
    <s v="ORD200833"/>
    <d v="2025-03-14T00:00:00"/>
    <s v="C90595"/>
    <s v="Phone"/>
    <n v="5"/>
    <n v="78.290000000000006"/>
    <s v="508 Main St"/>
    <x v="2"/>
    <x v="0"/>
    <s v="TRK96573803"/>
    <n v="5"/>
    <s v="WINTER15"/>
    <x v="1"/>
    <n v="391.45000000000005"/>
  </r>
  <r>
    <s v="ORD200834"/>
    <d v="2024-04-11T00:00:00"/>
    <s v="C98483"/>
    <s v="Printer"/>
    <n v="5"/>
    <n v="22.14"/>
    <s v="456 Main St"/>
    <x v="4"/>
    <x v="2"/>
    <s v="TRK22084320"/>
    <n v="10"/>
    <s v="NO COUPON"/>
    <x v="0"/>
    <n v="110.7"/>
  </r>
  <r>
    <s v="ORD200835"/>
    <d v="2024-03-26T00:00:00"/>
    <s v="C16429"/>
    <s v="Desk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s v="Phone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s v="Chair"/>
    <n v="5"/>
    <n v="655.55"/>
    <s v="282 Main St"/>
    <x v="1"/>
    <x v="3"/>
    <s v="TRK59701278"/>
    <n v="5"/>
    <s v="NO COUPON"/>
    <x v="2"/>
    <n v="3277.75"/>
  </r>
  <r>
    <s v="ORD200838"/>
    <d v="2024-04-11T00:00:00"/>
    <s v="C57798"/>
    <s v="Desk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s v="C82858"/>
    <s v="Chair"/>
    <n v="3"/>
    <n v="197.97"/>
    <s v="551 Main St"/>
    <x v="1"/>
    <x v="1"/>
    <s v="TRK90618490"/>
    <n v="5"/>
    <s v="NO COUPON"/>
    <x v="4"/>
    <n v="593.91"/>
  </r>
  <r>
    <s v="ORD200840"/>
    <d v="2024-01-14T00:00:00"/>
    <s v="C60699"/>
    <s v="Chair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s v="Printer"/>
    <n v="2"/>
    <n v="443.22"/>
    <s v="742 Main St"/>
    <x v="2"/>
    <x v="3"/>
    <s v="TRK51732528"/>
    <n v="5"/>
    <s v="NO COUPON"/>
    <x v="3"/>
    <n v="886.44"/>
  </r>
  <r>
    <s v="ORD200842"/>
    <d v="2025-05-07T00:00:00"/>
    <s v="C78305"/>
    <s v="Laptop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s v="Desk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s v="Chair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s v="Phone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s v="Desk"/>
    <n v="2"/>
    <n v="359.86"/>
    <s v="646 Main St"/>
    <x v="0"/>
    <x v="1"/>
    <s v="TRK43977698"/>
    <n v="4"/>
    <s v="NO COUPON"/>
    <x v="1"/>
    <n v="719.72"/>
  </r>
  <r>
    <s v="ORD200847"/>
    <d v="2024-11-18T00:00:00"/>
    <s v="C48176"/>
    <s v="Printer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s v="Chair"/>
    <n v="2"/>
    <n v="645.85"/>
    <s v="634 Main St"/>
    <x v="1"/>
    <x v="0"/>
    <s v="TRK18049633"/>
    <n v="5"/>
    <s v="NO COUPON"/>
    <x v="1"/>
    <n v="1291.7"/>
  </r>
  <r>
    <s v="ORD200849"/>
    <d v="2025-06-09T00:00:00"/>
    <s v="C16675"/>
    <s v="Printer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s v="Monitor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s v="Laptop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s v="Desk"/>
    <n v="3"/>
    <n v="568.04999999999995"/>
    <s v="618 Main St"/>
    <x v="3"/>
    <x v="4"/>
    <s v="TRK69000497"/>
    <n v="6"/>
    <s v="SAVE10"/>
    <x v="4"/>
    <n v="1704.1499999999999"/>
  </r>
  <r>
    <s v="ORD200853"/>
    <d v="2023-10-16T00:00:00"/>
    <s v="C10002"/>
    <s v="Printer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s v="Laptop"/>
    <n v="3"/>
    <n v="372.6"/>
    <s v="356 Main St"/>
    <x v="2"/>
    <x v="3"/>
    <s v="TRK67735987"/>
    <n v="7"/>
    <s v="WINTER15"/>
    <x v="1"/>
    <n v="1117.8000000000002"/>
  </r>
  <r>
    <s v="ORD200855"/>
    <d v="2023-05-25T00:00:00"/>
    <s v="C41331"/>
    <s v="Monitor"/>
    <n v="5"/>
    <n v="240.61"/>
    <s v="785 Main St"/>
    <x v="2"/>
    <x v="0"/>
    <s v="TRK94198179"/>
    <n v="10"/>
    <s v="FREESHIP"/>
    <x v="2"/>
    <n v="1203.0500000000002"/>
  </r>
  <r>
    <s v="ORD200856"/>
    <d v="2024-06-03T00:00:00"/>
    <s v="C94698"/>
    <s v="Phone"/>
    <n v="1"/>
    <n v="586.62"/>
    <s v="871 Main St"/>
    <x v="0"/>
    <x v="0"/>
    <s v="TRK95768773"/>
    <n v="5"/>
    <s v="NO COUPON"/>
    <x v="3"/>
    <n v="586.62"/>
  </r>
  <r>
    <s v="ORD200857"/>
    <d v="2024-03-10T00:00:00"/>
    <s v="C56506"/>
    <s v="Phone"/>
    <n v="3"/>
    <n v="257.83999999999997"/>
    <s v="185 Main St"/>
    <x v="1"/>
    <x v="3"/>
    <s v="TRK86808324"/>
    <n v="4"/>
    <s v="NO COUPON"/>
    <x v="0"/>
    <n v="773.52"/>
  </r>
  <r>
    <s v="ORD200858"/>
    <d v="2023-08-20T00:00:00"/>
    <s v="C22167"/>
    <s v="Tablet"/>
    <n v="5"/>
    <n v="435.66"/>
    <s v="891 Main St"/>
    <x v="1"/>
    <x v="4"/>
    <s v="TRK70269748"/>
    <n v="9"/>
    <s v="NO COUPON"/>
    <x v="3"/>
    <n v="2178.3000000000002"/>
  </r>
  <r>
    <s v="ORD200859"/>
    <d v="2024-08-28T00:00:00"/>
    <s v="C11127"/>
    <s v="Chair"/>
    <n v="5"/>
    <n v="261.33"/>
    <s v="154 Main St"/>
    <x v="2"/>
    <x v="2"/>
    <s v="TRK73285507"/>
    <n v="5"/>
    <s v="SAVE10"/>
    <x v="1"/>
    <n v="1306.6499999999999"/>
  </r>
  <r>
    <s v="ORD200860"/>
    <d v="2024-01-23T00:00:00"/>
    <s v="C69542"/>
    <s v="Printer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s v="Desk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s v="Desk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s v="Phone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s v="Desk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s v="Monitor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s v="Desk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s v="Printer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s v="Monitor"/>
    <n v="4"/>
    <n v="316.32"/>
    <s v="309 Main St"/>
    <x v="0"/>
    <x v="3"/>
    <s v="TRK42985882"/>
    <n v="7"/>
    <s v="NO COUPON"/>
    <x v="3"/>
    <n v="1265.28"/>
  </r>
  <r>
    <s v="ORD200869"/>
    <d v="2024-03-17T00:00:00"/>
    <s v="C29905"/>
    <s v="Desk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s v="Phone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s v="Tablet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s v="Chair"/>
    <n v="4"/>
    <n v="629.34"/>
    <s v="172 Main St"/>
    <x v="4"/>
    <x v="0"/>
    <s v="TRK90883858"/>
    <n v="7"/>
    <s v="NO COUPON"/>
    <x v="2"/>
    <n v="2517.36"/>
  </r>
  <r>
    <s v="ORD200873"/>
    <d v="2024-05-12T00:00:00"/>
    <s v="C53488"/>
    <s v="Desk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s v="Chair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s v="Laptop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s v="Chair"/>
    <n v="5"/>
    <n v="608.91"/>
    <s v="200 Main St"/>
    <x v="3"/>
    <x v="4"/>
    <s v="TRK21534173"/>
    <n v="6"/>
    <s v="SAVE10"/>
    <x v="4"/>
    <n v="3044.5499999999997"/>
  </r>
  <r>
    <s v="ORD200877"/>
    <d v="2024-07-25T00:00:00"/>
    <s v="C43867"/>
    <s v="Tablet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s v="Desk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s v="Phone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s v="C85074"/>
    <s v="Laptop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s v="Tablet"/>
    <n v="2"/>
    <n v="448.85"/>
    <s v="386 Main St"/>
    <x v="2"/>
    <x v="4"/>
    <s v="TRK48000034"/>
    <n v="6"/>
    <s v="NO COUPON"/>
    <x v="0"/>
    <n v="897.7"/>
  </r>
  <r>
    <s v="ORD200882"/>
    <d v="2025-06-28T00:00:00"/>
    <s v="C43335"/>
    <s v="Phone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s v="Printer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s v="Chair"/>
    <n v="1"/>
    <n v="595.54"/>
    <s v="817 Main St"/>
    <x v="3"/>
    <x v="0"/>
    <s v="TRK52137079"/>
    <n v="4"/>
    <s v="NO COUPON"/>
    <x v="0"/>
    <n v="595.54"/>
  </r>
  <r>
    <s v="ORD200885"/>
    <d v="2024-04-07T00:00:00"/>
    <s v="C61090"/>
    <s v="Laptop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s v="Phone"/>
    <n v="1"/>
    <n v="460.13"/>
    <s v="792 Main St"/>
    <x v="2"/>
    <x v="2"/>
    <s v="TRK22046456"/>
    <n v="1"/>
    <s v="NO COUPON"/>
    <x v="4"/>
    <n v="460.13"/>
  </r>
  <r>
    <s v="ORD200887"/>
    <d v="2024-12-19T00:00:00"/>
    <s v="C67932"/>
    <s v="Chair"/>
    <n v="3"/>
    <n v="171.66"/>
    <s v="857 Main St"/>
    <x v="0"/>
    <x v="3"/>
    <s v="TRK88547534"/>
    <n v="7"/>
    <s v="NO COUPON"/>
    <x v="4"/>
    <n v="514.98"/>
  </r>
  <r>
    <s v="ORD200888"/>
    <d v="2024-07-23T00:00:00"/>
    <s v="C14427"/>
    <s v="Laptop"/>
    <n v="2"/>
    <n v="266.95"/>
    <s v="833 Main St"/>
    <x v="2"/>
    <x v="4"/>
    <s v="TRK58024529"/>
    <n v="3"/>
    <s v="NO COUPON"/>
    <x v="0"/>
    <n v="533.9"/>
  </r>
  <r>
    <s v="ORD200889"/>
    <d v="2024-10-27T00:00:00"/>
    <s v="C36725"/>
    <s v="Monitor"/>
    <n v="5"/>
    <n v="650.72"/>
    <s v="350 Main St"/>
    <x v="2"/>
    <x v="1"/>
    <s v="TRK16808790"/>
    <n v="8"/>
    <s v="WINTER15"/>
    <x v="2"/>
    <n v="3253.6000000000004"/>
  </r>
  <r>
    <s v="ORD200890"/>
    <d v="2023-08-11T00:00:00"/>
    <s v="C51921"/>
    <s v="Laptop"/>
    <n v="3"/>
    <n v="439.53"/>
    <s v="943 Main St"/>
    <x v="0"/>
    <x v="4"/>
    <s v="TRK85741716"/>
    <n v="5"/>
    <s v="NO COUPON"/>
    <x v="4"/>
    <n v="1318.59"/>
  </r>
  <r>
    <s v="ORD200891"/>
    <d v="2023-11-11T00:00:00"/>
    <s v="C36534"/>
    <s v="Monitor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s v="Desk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s v="Monitor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s v="Tablet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s v="Chair"/>
    <n v="3"/>
    <n v="154.63999999999999"/>
    <s v="832 Main St"/>
    <x v="0"/>
    <x v="4"/>
    <s v="TRK62371264"/>
    <n v="6"/>
    <s v="WINTER15"/>
    <x v="3"/>
    <n v="463.91999999999996"/>
  </r>
  <r>
    <s v="ORD200896"/>
    <d v="2024-10-18T00:00:00"/>
    <s v="C85466"/>
    <s v="Desk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s v="Laptop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s v="Monitor"/>
    <n v="3"/>
    <n v="158.37"/>
    <s v="742 Main St"/>
    <x v="4"/>
    <x v="0"/>
    <s v="TRK66662528"/>
    <n v="6"/>
    <s v="NO COUPON"/>
    <x v="1"/>
    <n v="475.11"/>
  </r>
  <r>
    <s v="ORD200899"/>
    <d v="2025-04-23T00:00:00"/>
    <s v="C99904"/>
    <s v="Printer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s v="Laptop"/>
    <n v="5"/>
    <n v="73.83"/>
    <s v="991 Main St"/>
    <x v="0"/>
    <x v="4"/>
    <s v="TRK67342586"/>
    <n v="9"/>
    <s v="NO COUPON"/>
    <x v="0"/>
    <n v="369.15"/>
  </r>
  <r>
    <s v="ORD200901"/>
    <d v="2024-04-28T00:00:00"/>
    <s v="C44277"/>
    <s v="Tablet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s v="Monitor"/>
    <n v="4"/>
    <n v="180.25"/>
    <s v="813 Main St"/>
    <x v="0"/>
    <x v="1"/>
    <s v="TRK76712124"/>
    <n v="7"/>
    <s v="NO COUPON"/>
    <x v="3"/>
    <n v="721"/>
  </r>
  <r>
    <s v="ORD200903"/>
    <d v="2023-05-17T00:00:00"/>
    <s v="C80868"/>
    <s v="Monitor"/>
    <n v="3"/>
    <n v="473.49"/>
    <s v="205 Main St"/>
    <x v="2"/>
    <x v="4"/>
    <s v="TRK56186636"/>
    <n v="7"/>
    <s v="NO COUPON"/>
    <x v="2"/>
    <n v="1420.47"/>
  </r>
  <r>
    <s v="ORD200904"/>
    <d v="2025-02-05T00:00:00"/>
    <s v="C16693"/>
    <s v="Monitor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s v="Laptop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s v="Monitor"/>
    <n v="1"/>
    <n v="62.12"/>
    <s v="141 Main St"/>
    <x v="4"/>
    <x v="2"/>
    <s v="TRK80175572"/>
    <n v="2"/>
    <s v="NO COUPON"/>
    <x v="2"/>
    <n v="62.12"/>
  </r>
  <r>
    <s v="ORD200907"/>
    <d v="2024-08-04T00:00:00"/>
    <s v="C90898"/>
    <s v="Desk"/>
    <n v="5"/>
    <n v="298.39"/>
    <s v="583 Main St"/>
    <x v="3"/>
    <x v="1"/>
    <s v="TRK52935170"/>
    <n v="7"/>
    <s v="WINTER15"/>
    <x v="1"/>
    <n v="1491.9499999999998"/>
  </r>
  <r>
    <s v="ORD200908"/>
    <d v="2025-05-06T00:00:00"/>
    <s v="C35117"/>
    <s v="Desk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s v="Tablet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s v="Printer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s v="Desk"/>
    <n v="5"/>
    <n v="396.86"/>
    <s v="593 Main St"/>
    <x v="4"/>
    <x v="1"/>
    <s v="TRK43967487"/>
    <n v="9"/>
    <s v="SAVE10"/>
    <x v="0"/>
    <n v="1984.3000000000002"/>
  </r>
  <r>
    <s v="ORD200912"/>
    <d v="2024-01-22T00:00:00"/>
    <s v="C67604"/>
    <s v="Desk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s v="Printer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s v="Desk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s v="Laptop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s v="Printer"/>
    <n v="5"/>
    <n v="578.83000000000004"/>
    <s v="165 Main St"/>
    <x v="4"/>
    <x v="2"/>
    <s v="TRK13928455"/>
    <n v="6"/>
    <s v="NO COUPON"/>
    <x v="1"/>
    <n v="2894.15"/>
  </r>
  <r>
    <s v="ORD200917"/>
    <d v="2025-01-20T00:00:00"/>
    <s v="C65524"/>
    <s v="Laptop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s v="Laptop"/>
    <n v="5"/>
    <n v="368.25"/>
    <s v="706 Main St"/>
    <x v="1"/>
    <x v="3"/>
    <s v="TRK18250450"/>
    <n v="5"/>
    <s v="NO COUPON"/>
    <x v="0"/>
    <n v="1841.25"/>
  </r>
  <r>
    <s v="ORD200919"/>
    <d v="2025-02-07T00:00:00"/>
    <s v="C92086"/>
    <s v="Printer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s v="Tablet"/>
    <n v="2"/>
    <n v="428.09"/>
    <s v="978 Main St"/>
    <x v="2"/>
    <x v="2"/>
    <s v="TRK98110407"/>
    <n v="6"/>
    <s v="NO COUPON"/>
    <x v="0"/>
    <n v="856.18"/>
  </r>
  <r>
    <s v="ORD200921"/>
    <d v="2023-07-24T00:00:00"/>
    <s v="C90573"/>
    <s v="Tablet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s v="Desk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s v="C91582"/>
    <s v="Printer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s v="Printer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s v="Monitor"/>
    <n v="5"/>
    <n v="502.47"/>
    <s v="304 Main St"/>
    <x v="1"/>
    <x v="0"/>
    <s v="TRK97460884"/>
    <n v="10"/>
    <s v="WINTER15"/>
    <x v="2"/>
    <n v="2512.3500000000004"/>
  </r>
  <r>
    <s v="ORD200926"/>
    <d v="2024-03-20T00:00:00"/>
    <s v="C67533"/>
    <s v="Desk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s v="Laptop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s v="Laptop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s v="Tablet"/>
    <n v="2"/>
    <n v="536.25"/>
    <s v="553 Main St"/>
    <x v="0"/>
    <x v="4"/>
    <s v="TRK71803414"/>
    <n v="3"/>
    <s v="NO COUPON"/>
    <x v="2"/>
    <n v="1072.5"/>
  </r>
  <r>
    <s v="ORD200930"/>
    <d v="2024-12-16T00:00:00"/>
    <s v="C59554"/>
    <s v="Phone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s v="Printer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s v="Laptop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s v="Monitor"/>
    <n v="2"/>
    <n v="394.16"/>
    <s v="255 Main St"/>
    <x v="1"/>
    <x v="0"/>
    <s v="TRK43718093"/>
    <n v="2"/>
    <s v="NO COUPON"/>
    <x v="1"/>
    <n v="788.32"/>
  </r>
  <r>
    <s v="ORD200934"/>
    <d v="2025-06-01T00:00:00"/>
    <s v="C40304"/>
    <s v="Laptop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s v="Phone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s v="Chair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s v="Chair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s v="Chair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s v="Laptop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s v="Printer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s v="Printer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s v="Tablet"/>
    <n v="1"/>
    <n v="479.76"/>
    <s v="882 Main St"/>
    <x v="2"/>
    <x v="4"/>
    <s v="TRK56070470"/>
    <n v="1"/>
    <s v="NO COUPON"/>
    <x v="2"/>
    <n v="479.76"/>
  </r>
  <r>
    <s v="ORD200943"/>
    <d v="2023-12-27T00:00:00"/>
    <s v="C43330"/>
    <s v="Monitor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s v="Laptop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s v="Tablet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s v="Phone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s v="Phone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s v="Phone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s v="C55778"/>
    <s v="Desk"/>
    <n v="5"/>
    <n v="110.38"/>
    <s v="319 Main St"/>
    <x v="4"/>
    <x v="4"/>
    <s v="TRK93797108"/>
    <n v="10"/>
    <s v="NO COUPON"/>
    <x v="1"/>
    <n v="551.9"/>
  </r>
  <r>
    <s v="ORD200950"/>
    <d v="2024-05-31T00:00:00"/>
    <s v="C19722"/>
    <s v="Laptop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s v="Printer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s v="Monitor"/>
    <n v="3"/>
    <n v="503.39"/>
    <s v="225 Main St"/>
    <x v="1"/>
    <x v="4"/>
    <s v="TRK45303393"/>
    <n v="5"/>
    <s v="NO COUPON"/>
    <x v="3"/>
    <n v="1510.17"/>
  </r>
  <r>
    <s v="ORD200953"/>
    <d v="2023-02-06T00:00:00"/>
    <s v="C43721"/>
    <s v="Phone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s v="Chair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s v="Chair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s v="Phone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s v="Monitor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s v="Desk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s v="Tablet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s v="Laptop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s v="Phone"/>
    <n v="1"/>
    <n v="601.36"/>
    <s v="532 Main St"/>
    <x v="1"/>
    <x v="0"/>
    <s v="TRK81178598"/>
    <n v="1"/>
    <s v="NO COUPON"/>
    <x v="3"/>
    <n v="601.36"/>
  </r>
  <r>
    <s v="ORD200962"/>
    <d v="2024-09-06T00:00:00"/>
    <s v="C12459"/>
    <s v="Phone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s v="Chair"/>
    <n v="5"/>
    <n v="530.34"/>
    <s v="970 Main St"/>
    <x v="1"/>
    <x v="0"/>
    <s v="TRK42832976"/>
    <n v="9"/>
    <s v="FREESHIP"/>
    <x v="4"/>
    <n v="2651.7000000000003"/>
  </r>
  <r>
    <s v="ORD200964"/>
    <d v="2023-08-20T00:00:00"/>
    <s v="C18583"/>
    <s v="Phone"/>
    <n v="5"/>
    <n v="364.42"/>
    <s v="778 Main St"/>
    <x v="2"/>
    <x v="1"/>
    <s v="TRK43084595"/>
    <n v="10"/>
    <s v="SAVE10"/>
    <x v="1"/>
    <n v="1822.1000000000001"/>
  </r>
  <r>
    <s v="ORD200965"/>
    <d v="2025-06-18T00:00:00"/>
    <s v="C70412"/>
    <s v="Laptop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s v="Monitor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s v="Tablet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s v="Monitor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s v="Desk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s v="Desk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s v="Monitor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s v="Laptop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s v="Desk"/>
    <n v="5"/>
    <n v="230.77"/>
    <s v="141 Main St"/>
    <x v="1"/>
    <x v="4"/>
    <s v="TRK50594008"/>
    <n v="10"/>
    <s v="WINTER15"/>
    <x v="1"/>
    <n v="1153.8500000000001"/>
  </r>
  <r>
    <s v="ORD200974"/>
    <d v="2023-09-27T00:00:00"/>
    <s v="C30722"/>
    <s v="Desk"/>
    <n v="5"/>
    <n v="266.77999999999997"/>
    <s v="274 Main St"/>
    <x v="3"/>
    <x v="1"/>
    <s v="TRK52088168"/>
    <n v="5"/>
    <s v="NO COUPON"/>
    <x v="2"/>
    <n v="1333.8999999999999"/>
  </r>
  <r>
    <s v="ORD200975"/>
    <d v="2023-05-18T00:00:00"/>
    <s v="C70529"/>
    <s v="Desk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s v="Tablet"/>
    <n v="3"/>
    <n v="589.29999999999995"/>
    <s v="650 Main St"/>
    <x v="2"/>
    <x v="2"/>
    <s v="TRK49298239"/>
    <n v="6"/>
    <s v="WINTER15"/>
    <x v="1"/>
    <n v="1767.8999999999999"/>
  </r>
  <r>
    <s v="ORD200977"/>
    <d v="2023-01-28T00:00:00"/>
    <s v="C85841"/>
    <s v="Chair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s v="Printer"/>
    <n v="4"/>
    <n v="107.49"/>
    <s v="993 Main St"/>
    <x v="4"/>
    <x v="3"/>
    <s v="TRK61047536"/>
    <n v="5"/>
    <s v="NO COUPON"/>
    <x v="4"/>
    <n v="429.96"/>
  </r>
  <r>
    <s v="ORD200979"/>
    <d v="2023-05-31T00:00:00"/>
    <s v="C75018"/>
    <s v="Monitor"/>
    <n v="3"/>
    <n v="669.06"/>
    <s v="299 Main St"/>
    <x v="4"/>
    <x v="3"/>
    <s v="TRK51794806"/>
    <n v="7"/>
    <s v="SAVE10"/>
    <x v="3"/>
    <n v="2007.1799999999998"/>
  </r>
  <r>
    <s v="ORD200980"/>
    <d v="2023-10-14T00:00:00"/>
    <s v="C84320"/>
    <s v="Chair"/>
    <n v="3"/>
    <n v="69.650000000000006"/>
    <s v="107 Main St"/>
    <x v="4"/>
    <x v="3"/>
    <s v="TRK81093218"/>
    <n v="7"/>
    <s v="WINTER15"/>
    <x v="0"/>
    <n v="208.95000000000002"/>
  </r>
  <r>
    <s v="ORD200981"/>
    <d v="2023-11-26T00:00:00"/>
    <s v="C12609"/>
    <s v="Phone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s v="Monitor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s v="Monitor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s v="Desk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s v="Desk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s v="Laptop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s v="Phone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s v="Desk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s v="Laptop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s v="Phone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s v="Desk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s v="Printer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s v="Monitor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s v="Tablet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s v="Monitor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s v="Monitor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s v="Laptop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s v="Phone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s v="Printer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s v="Printer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s v="Printer"/>
    <n v="2"/>
    <n v="253.68"/>
    <s v="122 Main St"/>
    <x v="3"/>
    <x v="0"/>
    <s v="TRK19554327"/>
    <n v="6"/>
    <s v="NO COUPON"/>
    <x v="1"/>
    <n v="507.36"/>
  </r>
  <r>
    <s v="ORD201002"/>
    <d v="2025-06-19T00:00:00"/>
    <s v="C83911"/>
    <s v="Tablet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s v="Printer"/>
    <n v="5"/>
    <n v="319.97000000000003"/>
    <s v="582 Main St"/>
    <x v="4"/>
    <x v="0"/>
    <s v="TRK14706969"/>
    <n v="7"/>
    <s v="SAVE10"/>
    <x v="4"/>
    <n v="1599.8500000000001"/>
  </r>
  <r>
    <s v="ORD201004"/>
    <d v="2025-06-09T00:00:00"/>
    <s v="C87529"/>
    <s v="Chair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s v="Printer"/>
    <n v="3"/>
    <n v="392.85"/>
    <s v="426 Main St"/>
    <x v="2"/>
    <x v="2"/>
    <s v="TRK11448295"/>
    <n v="6"/>
    <s v="NO COUPON"/>
    <x v="4"/>
    <n v="1178.5500000000002"/>
  </r>
  <r>
    <s v="ORD201006"/>
    <d v="2024-05-27T00:00:00"/>
    <s v="C27435"/>
    <s v="Tablet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s v="Monitor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s v="Monitor"/>
    <n v="3"/>
    <n v="410.88"/>
    <s v="257 Main St"/>
    <x v="4"/>
    <x v="3"/>
    <s v="TRK12742366"/>
    <n v="8"/>
    <s v="FREESHIP"/>
    <x v="0"/>
    <n v="1232.6399999999999"/>
  </r>
  <r>
    <s v="ORD201009"/>
    <d v="2023-09-02T00:00:00"/>
    <s v="C54494"/>
    <s v="Tablet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s v="Monitor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s v="Phone"/>
    <n v="2"/>
    <n v="478.36"/>
    <s v="654 Main St"/>
    <x v="1"/>
    <x v="0"/>
    <s v="TRK22271097"/>
    <n v="3"/>
    <s v="NO COUPON"/>
    <x v="4"/>
    <n v="956.72"/>
  </r>
  <r>
    <s v="ORD201012"/>
    <d v="2024-12-03T00:00:00"/>
    <s v="C84570"/>
    <s v="Printer"/>
    <n v="4"/>
    <n v="30.05"/>
    <s v="301 Main St"/>
    <x v="1"/>
    <x v="2"/>
    <s v="TRK12551882"/>
    <n v="6"/>
    <s v="NO COUPON"/>
    <x v="3"/>
    <n v="120.2"/>
  </r>
  <r>
    <s v="ORD201013"/>
    <d v="2025-04-26T00:00:00"/>
    <s v="C91123"/>
    <s v="Laptop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s v="Tablet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s v="Printer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s v="Tablet"/>
    <n v="5"/>
    <n v="268.77999999999997"/>
    <s v="669 Main St"/>
    <x v="0"/>
    <x v="3"/>
    <s v="TRK62135578"/>
    <n v="7"/>
    <s v="WINTER15"/>
    <x v="2"/>
    <n v="1343.8999999999999"/>
  </r>
  <r>
    <s v="ORD201017"/>
    <d v="2024-08-25T00:00:00"/>
    <s v="C51694"/>
    <s v="Chair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s v="Laptop"/>
    <n v="3"/>
    <n v="182.48"/>
    <s v="209 Main St"/>
    <x v="4"/>
    <x v="3"/>
    <s v="TRK20703086"/>
    <n v="3"/>
    <s v="NO COUPON"/>
    <x v="0"/>
    <n v="547.43999999999994"/>
  </r>
  <r>
    <s v="ORD201019"/>
    <d v="2024-04-06T00:00:00"/>
    <s v="C28386"/>
    <s v="Desk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s v="Tablet"/>
    <n v="2"/>
    <n v="26.5"/>
    <s v="312 Main St"/>
    <x v="1"/>
    <x v="3"/>
    <s v="TRK47787981"/>
    <n v="3"/>
    <s v="SAVE10"/>
    <x v="0"/>
    <n v="53"/>
  </r>
  <r>
    <s v="ORD201021"/>
    <d v="2023-10-23T00:00:00"/>
    <s v="C74519"/>
    <s v="Phone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s v="Tablet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s v="Laptop"/>
    <n v="5"/>
    <n v="233.67"/>
    <s v="291 Main St"/>
    <x v="4"/>
    <x v="0"/>
    <s v="TRK32059025"/>
    <n v="10"/>
    <s v="NO COUPON"/>
    <x v="1"/>
    <n v="1168.3499999999999"/>
  </r>
  <r>
    <s v="ORD201024"/>
    <d v="2024-01-29T00:00:00"/>
    <s v="C90612"/>
    <s v="Chair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s v="Chair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s v="Monitor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s v="Laptop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s v="C60042"/>
    <s v="Desk"/>
    <n v="4"/>
    <n v="440.31"/>
    <s v="610 Main St"/>
    <x v="4"/>
    <x v="1"/>
    <s v="TRK84651559"/>
    <n v="6"/>
    <s v="NO COUPON"/>
    <x v="0"/>
    <n v="1761.24"/>
  </r>
  <r>
    <s v="ORD201029"/>
    <d v="2025-03-01T00:00:00"/>
    <s v="C44733"/>
    <s v="Desk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s v="Phone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s v="Phone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s v="Chair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s v="Monitor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s v="Printer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s v="Laptop"/>
    <n v="4"/>
    <n v="506.11"/>
    <s v="911 Main St"/>
    <x v="4"/>
    <x v="1"/>
    <s v="TRK97732085"/>
    <n v="5"/>
    <s v="NO COUPON"/>
    <x v="1"/>
    <n v="2024.44"/>
  </r>
  <r>
    <s v="ORD201036"/>
    <d v="2024-05-31T00:00:00"/>
    <s v="C98278"/>
    <s v="Phone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s v="Printer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s v="Tablet"/>
    <n v="3"/>
    <n v="362.53"/>
    <s v="422 Main St"/>
    <x v="0"/>
    <x v="2"/>
    <s v="TRK28969024"/>
    <n v="5"/>
    <s v="NO COUPON"/>
    <x v="3"/>
    <n v="1087.5899999999999"/>
  </r>
  <r>
    <s v="ORD201039"/>
    <d v="2025-06-28T00:00:00"/>
    <s v="C49137"/>
    <s v="Desk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s v="Tablet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s v="Monitor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s v="Tablet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s v="Tablet"/>
    <n v="2"/>
    <n v="179.96"/>
    <s v="675 Main St"/>
    <x v="3"/>
    <x v="0"/>
    <s v="TRK94346739"/>
    <n v="5"/>
    <s v="NO COUPON"/>
    <x v="0"/>
    <n v="359.92"/>
  </r>
  <r>
    <s v="ORD201044"/>
    <d v="2025-06-22T00:00:00"/>
    <s v="C63018"/>
    <s v="Printer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s v="Laptop"/>
    <n v="5"/>
    <n v="316.39999999999998"/>
    <s v="671 Main St"/>
    <x v="3"/>
    <x v="2"/>
    <s v="TRK72012758"/>
    <n v="7"/>
    <s v="NO COUPON"/>
    <x v="2"/>
    <n v="1582"/>
  </r>
  <r>
    <s v="ORD201046"/>
    <d v="2024-10-07T00:00:00"/>
    <s v="C85421"/>
    <s v="Tablet"/>
    <n v="3"/>
    <n v="547.15"/>
    <s v="466 Main St"/>
    <x v="1"/>
    <x v="0"/>
    <s v="TRK16524006"/>
    <n v="4"/>
    <s v="WINTER15"/>
    <x v="0"/>
    <n v="1641.4499999999998"/>
  </r>
  <r>
    <s v="ORD201047"/>
    <d v="2023-06-23T00:00:00"/>
    <s v="C81726"/>
    <s v="Chair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s v="Monitor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s v="C60575"/>
    <s v="Desk"/>
    <n v="5"/>
    <n v="391.86"/>
    <s v="587 Main St"/>
    <x v="2"/>
    <x v="0"/>
    <s v="TRK44468232"/>
    <n v="6"/>
    <s v="NO COUPON"/>
    <x v="0"/>
    <n v="1959.3000000000002"/>
  </r>
  <r>
    <s v="ORD201050"/>
    <d v="2023-08-20T00:00:00"/>
    <s v="C70659"/>
    <s v="Laptop"/>
    <n v="5"/>
    <n v="69.7"/>
    <s v="722 Main St"/>
    <x v="1"/>
    <x v="2"/>
    <s v="TRK49663597"/>
    <n v="9"/>
    <s v="NO COUPON"/>
    <x v="0"/>
    <n v="348.5"/>
  </r>
  <r>
    <s v="ORD201051"/>
    <d v="2025-03-05T00:00:00"/>
    <s v="C35043"/>
    <s v="Monitor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s v="Tablet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s v="Phone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s v="Printer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s v="Monitor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s v="Phone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s v="Laptop"/>
    <n v="3"/>
    <n v="428.88"/>
    <s v="535 Main St"/>
    <x v="0"/>
    <x v="0"/>
    <s v="TRK81611937"/>
    <n v="3"/>
    <s v="WINTER15"/>
    <x v="3"/>
    <n v="1286.6399999999999"/>
  </r>
  <r>
    <s v="ORD201058"/>
    <d v="2023-09-08T00:00:00"/>
    <s v="C32943"/>
    <s v="Desk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s v="Desk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s v="Tablet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s v="Laptop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s v="Chair"/>
    <n v="5"/>
    <n v="85.52"/>
    <s v="301 Main St"/>
    <x v="3"/>
    <x v="1"/>
    <s v="TRK65149372"/>
    <n v="5"/>
    <s v="NO COUPON"/>
    <x v="3"/>
    <n v="427.59999999999997"/>
  </r>
  <r>
    <s v="ORD201063"/>
    <d v="2024-06-19T00:00:00"/>
    <s v="C42108"/>
    <s v="Desk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s v="Laptop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s v="Printer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s v="Desk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s v="Phone"/>
    <n v="2"/>
    <n v="316.2"/>
    <s v="384 Main St"/>
    <x v="1"/>
    <x v="2"/>
    <s v="TRK37426359"/>
    <n v="2"/>
    <s v="NO COUPON"/>
    <x v="0"/>
    <n v="632.4"/>
  </r>
  <r>
    <s v="ORD201068"/>
    <d v="2024-08-03T00:00:00"/>
    <s v="C29914"/>
    <s v="Laptop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s v="Monitor"/>
    <n v="1"/>
    <n v="454.23"/>
    <s v="255 Main St"/>
    <x v="3"/>
    <x v="2"/>
    <s v="TRK12518384"/>
    <n v="3"/>
    <s v="NO COUPON"/>
    <x v="3"/>
    <n v="454.23"/>
  </r>
  <r>
    <s v="ORD201070"/>
    <d v="2024-09-06T00:00:00"/>
    <s v="C46873"/>
    <s v="Desk"/>
    <n v="4"/>
    <n v="491.29"/>
    <s v="496 Main St"/>
    <x v="0"/>
    <x v="4"/>
    <s v="TRK10926575"/>
    <n v="6"/>
    <s v="NO COUPON"/>
    <x v="2"/>
    <n v="1965.16"/>
  </r>
  <r>
    <s v="ORD201071"/>
    <d v="2025-06-24T00:00:00"/>
    <s v="C94037"/>
    <s v="Phone"/>
    <n v="2"/>
    <n v="255.14"/>
    <s v="216 Main St"/>
    <x v="4"/>
    <x v="0"/>
    <s v="TRK47536985"/>
    <n v="2"/>
    <s v="NO COUPON"/>
    <x v="4"/>
    <n v="510.28"/>
  </r>
  <r>
    <s v="ORD201072"/>
    <d v="2023-02-26T00:00:00"/>
    <s v="C88644"/>
    <s v="Monitor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s v="Tablet"/>
    <n v="4"/>
    <n v="362.06"/>
    <s v="294 Main St"/>
    <x v="0"/>
    <x v="2"/>
    <s v="TRK11107152"/>
    <n v="4"/>
    <s v="NO COUPON"/>
    <x v="3"/>
    <n v="1448.24"/>
  </r>
  <r>
    <s v="ORD201074"/>
    <d v="2024-05-10T00:00:00"/>
    <s v="C21437"/>
    <s v="Phone"/>
    <n v="1"/>
    <n v="222.73"/>
    <s v="120 Main St"/>
    <x v="1"/>
    <x v="2"/>
    <s v="TRK81624772"/>
    <n v="4"/>
    <s v="NO COUPON"/>
    <x v="4"/>
    <n v="222.73"/>
  </r>
  <r>
    <s v="ORD201075"/>
    <d v="2024-08-31T00:00:00"/>
    <s v="C40949"/>
    <s v="Monitor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s v="Laptop"/>
    <n v="4"/>
    <n v="686.61"/>
    <s v="176 Main St"/>
    <x v="4"/>
    <x v="0"/>
    <s v="TRK52711973"/>
    <n v="6"/>
    <s v="NO COUPON"/>
    <x v="1"/>
    <n v="2746.44"/>
  </r>
  <r>
    <s v="ORD201077"/>
    <d v="2025-03-07T00:00:00"/>
    <s v="C57861"/>
    <s v="Printer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s v="Desk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s v="Phone"/>
    <n v="5"/>
    <n v="634"/>
    <s v="144 Main St"/>
    <x v="3"/>
    <x v="3"/>
    <s v="TRK99055909"/>
    <n v="8"/>
    <s v="NO COUPON"/>
    <x v="2"/>
    <n v="3170"/>
  </r>
  <r>
    <s v="ORD201080"/>
    <d v="2023-01-20T00:00:00"/>
    <s v="C70613"/>
    <s v="Laptop"/>
    <n v="5"/>
    <n v="464.74"/>
    <s v="438 Main St"/>
    <x v="3"/>
    <x v="3"/>
    <s v="TRK33140293"/>
    <n v="7"/>
    <s v="NO COUPON"/>
    <x v="1"/>
    <n v="2323.6999999999998"/>
  </r>
  <r>
    <s v="ORD201081"/>
    <d v="2023-04-21T00:00:00"/>
    <s v="C55636"/>
    <s v="Monitor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s v="Chair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s v="Chair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s v="Phone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s v="Printer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s v="Tablet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s v="Laptop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s v="Desk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s v="Tablet"/>
    <n v="2"/>
    <n v="599.74"/>
    <s v="440 Main St"/>
    <x v="3"/>
    <x v="0"/>
    <s v="TRK66967997"/>
    <n v="2"/>
    <s v="NO COUPON"/>
    <x v="0"/>
    <n v="1199.48"/>
  </r>
  <r>
    <s v="ORD201090"/>
    <d v="2023-02-25T00:00:00"/>
    <s v="C61225"/>
    <s v="Monitor"/>
    <n v="2"/>
    <n v="650.25"/>
    <s v="996 Main St"/>
    <x v="3"/>
    <x v="2"/>
    <s v="TRK37022954"/>
    <n v="6"/>
    <s v="NO COUPON"/>
    <x v="0"/>
    <n v="1300.5"/>
  </r>
  <r>
    <s v="ORD201091"/>
    <d v="2024-10-08T00:00:00"/>
    <s v="C16400"/>
    <s v="Laptop"/>
    <n v="3"/>
    <n v="209.48"/>
    <s v="123 Main St"/>
    <x v="0"/>
    <x v="4"/>
    <s v="TRK57771859"/>
    <n v="4"/>
    <s v="NO COUPON"/>
    <x v="2"/>
    <n v="628.43999999999994"/>
  </r>
  <r>
    <s v="ORD201092"/>
    <d v="2023-08-21T00:00:00"/>
    <s v="C38642"/>
    <s v="Laptop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s v="Phone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s v="Printer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s v="Phone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s v="Tablet"/>
    <n v="2"/>
    <n v="464.92"/>
    <s v="782 Main St"/>
    <x v="0"/>
    <x v="2"/>
    <s v="TRK49482923"/>
    <n v="2"/>
    <s v="NO COUPON"/>
    <x v="3"/>
    <n v="929.84"/>
  </r>
  <r>
    <s v="ORD201097"/>
    <d v="2024-12-26T00:00:00"/>
    <s v="C81370"/>
    <s v="Monitor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s v="Monitor"/>
    <n v="4"/>
    <n v="255.86"/>
    <s v="155 Main St"/>
    <x v="2"/>
    <x v="3"/>
    <s v="TRK91653000"/>
    <n v="7"/>
    <s v="NO COUPON"/>
    <x v="2"/>
    <n v="1023.44"/>
  </r>
  <r>
    <s v="ORD201099"/>
    <d v="2024-09-19T00:00:00"/>
    <s v="C21953"/>
    <s v="Laptop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s v="Laptop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s v="Monitor"/>
    <n v="3"/>
    <n v="161.97"/>
    <s v="904 Main St"/>
    <x v="4"/>
    <x v="4"/>
    <s v="TRK85871121"/>
    <n v="4"/>
    <s v="SAVE10"/>
    <x v="2"/>
    <n v="485.90999999999997"/>
  </r>
  <r>
    <s v="ORD201102"/>
    <d v="2024-06-03T00:00:00"/>
    <s v="C98474"/>
    <s v="Chair"/>
    <n v="4"/>
    <n v="347.17"/>
    <s v="997 Main St"/>
    <x v="0"/>
    <x v="0"/>
    <s v="TRK86192984"/>
    <n v="8"/>
    <s v="NO COUPON"/>
    <x v="0"/>
    <n v="1388.68"/>
  </r>
  <r>
    <s v="ORD201103"/>
    <d v="2023-04-24T00:00:00"/>
    <s v="C90292"/>
    <s v="Laptop"/>
    <n v="4"/>
    <n v="276.32"/>
    <s v="129 Main St"/>
    <x v="1"/>
    <x v="3"/>
    <s v="TRK26270357"/>
    <n v="5"/>
    <s v="NO COUPON"/>
    <x v="4"/>
    <n v="1105.28"/>
  </r>
  <r>
    <s v="ORD201104"/>
    <d v="2024-07-25T00:00:00"/>
    <s v="C17075"/>
    <s v="Tablet"/>
    <n v="4"/>
    <n v="314.76"/>
    <s v="850 Main St"/>
    <x v="1"/>
    <x v="0"/>
    <s v="TRK63547510"/>
    <n v="8"/>
    <s v="NO COUPON"/>
    <x v="0"/>
    <n v="1259.04"/>
  </r>
  <r>
    <s v="ORD201105"/>
    <d v="2024-01-08T00:00:00"/>
    <s v="C12487"/>
    <s v="Tablet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s v="Chair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s v="Tablet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s v="Laptop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s v="Printer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s v="Chair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s v="Monitor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s v="Desk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s v="Desk"/>
    <n v="4"/>
    <n v="209.99"/>
    <s v="168 Main St"/>
    <x v="4"/>
    <x v="3"/>
    <s v="TRK80819053"/>
    <n v="8"/>
    <s v="NO COUPON"/>
    <x v="4"/>
    <n v="839.96"/>
  </r>
  <r>
    <s v="ORD201114"/>
    <d v="2023-03-16T00:00:00"/>
    <s v="C55164"/>
    <s v="Tablet"/>
    <n v="3"/>
    <n v="659.88"/>
    <s v="609 Main St"/>
    <x v="3"/>
    <x v="1"/>
    <s v="TRK79610967"/>
    <n v="3"/>
    <s v="NO COUPON"/>
    <x v="4"/>
    <n v="1979.6399999999999"/>
  </r>
  <r>
    <s v="ORD201115"/>
    <d v="2025-06-20T00:00:00"/>
    <s v="C70426"/>
    <s v="Laptop"/>
    <n v="2"/>
    <n v="336.32"/>
    <s v="562 Main St"/>
    <x v="1"/>
    <x v="2"/>
    <s v="TRK89687816"/>
    <n v="3"/>
    <s v="NO COUPON"/>
    <x v="4"/>
    <n v="672.64"/>
  </r>
  <r>
    <s v="ORD201116"/>
    <d v="2023-10-14T00:00:00"/>
    <s v="C69149"/>
    <s v="Printer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s v="Chair"/>
    <n v="3"/>
    <n v="588.44000000000005"/>
    <s v="858 Main St"/>
    <x v="3"/>
    <x v="0"/>
    <s v="TRK95779073"/>
    <n v="8"/>
    <s v="WINTER15"/>
    <x v="4"/>
    <n v="1765.3200000000002"/>
  </r>
  <r>
    <s v="ORD201118"/>
    <d v="2024-05-24T00:00:00"/>
    <s v="C58168"/>
    <s v="Phone"/>
    <n v="3"/>
    <n v="251.48"/>
    <s v="359 Main St"/>
    <x v="2"/>
    <x v="2"/>
    <s v="TRK99102265"/>
    <n v="4"/>
    <s v="NO COUPON"/>
    <x v="2"/>
    <n v="754.43999999999994"/>
  </r>
  <r>
    <s v="ORD201119"/>
    <d v="2024-11-24T00:00:00"/>
    <s v="C99024"/>
    <s v="Laptop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s v="Tablet"/>
    <n v="1"/>
    <n v="195.86"/>
    <s v="267 Main St"/>
    <x v="1"/>
    <x v="4"/>
    <s v="TRK82416295"/>
    <n v="3"/>
    <s v="NO COUPON"/>
    <x v="3"/>
    <n v="195.86"/>
  </r>
  <r>
    <s v="ORD201121"/>
    <d v="2023-05-28T00:00:00"/>
    <s v="C98354"/>
    <s v="Phone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s v="Monitor"/>
    <n v="5"/>
    <n v="678.19"/>
    <s v="766 Main St"/>
    <x v="1"/>
    <x v="2"/>
    <s v="TRK32496970"/>
    <n v="8"/>
    <s v="NO COUPON"/>
    <x v="3"/>
    <n v="3390.9500000000003"/>
  </r>
  <r>
    <s v="ORD201123"/>
    <d v="2023-04-14T00:00:00"/>
    <s v="C68936"/>
    <s v="Tablet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s v="Chair"/>
    <n v="4"/>
    <n v="576.87"/>
    <s v="888 Main St"/>
    <x v="3"/>
    <x v="2"/>
    <s v="TRK40245983"/>
    <n v="5"/>
    <s v="NO COUPON"/>
    <x v="0"/>
    <n v="2307.48"/>
  </r>
  <r>
    <s v="ORD201125"/>
    <d v="2023-10-16T00:00:00"/>
    <s v="C23555"/>
    <s v="Desk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s v="Phone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s v="Printer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s v="Monitor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s v="Chair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s v="Laptop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s v="Phone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s v="Chair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s v="Printer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s v="Desk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s v="Printer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s v="Tablet"/>
    <n v="3"/>
    <n v="668.33"/>
    <s v="799 Main St"/>
    <x v="3"/>
    <x v="4"/>
    <s v="TRK34856025"/>
    <n v="4"/>
    <s v="WINTER15"/>
    <x v="3"/>
    <n v="2004.9900000000002"/>
  </r>
  <r>
    <s v="ORD201137"/>
    <d v="2024-07-29T00:00:00"/>
    <s v="C48577"/>
    <s v="Printer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s v="Desk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s v="C70659"/>
    <s v="Chair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s v="Printer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s v="C11998"/>
    <s v="Chair"/>
    <n v="3"/>
    <n v="498.66"/>
    <s v="382 Main St"/>
    <x v="4"/>
    <x v="1"/>
    <s v="TRK26707221"/>
    <n v="6"/>
    <s v="NO COUPON"/>
    <x v="2"/>
    <n v="1495.98"/>
  </r>
  <r>
    <s v="ORD201142"/>
    <d v="2024-08-23T00:00:00"/>
    <s v="C23405"/>
    <s v="Phone"/>
    <n v="4"/>
    <n v="695.1"/>
    <s v="484 Main St"/>
    <x v="0"/>
    <x v="2"/>
    <s v="TRK83678708"/>
    <n v="8"/>
    <s v="NO COUPON"/>
    <x v="2"/>
    <n v="2780.4"/>
  </r>
  <r>
    <s v="ORD201143"/>
    <d v="2023-04-03T00:00:00"/>
    <s v="C41132"/>
    <s v="Chair"/>
    <n v="1"/>
    <n v="381.61"/>
    <s v="114 Main St"/>
    <x v="0"/>
    <x v="4"/>
    <s v="TRK51040137"/>
    <n v="5"/>
    <s v="NO COUPON"/>
    <x v="2"/>
    <n v="381.61"/>
  </r>
  <r>
    <s v="ORD201144"/>
    <d v="2023-02-16T00:00:00"/>
    <s v="C88463"/>
    <s v="Desk"/>
    <n v="5"/>
    <n v="507.94"/>
    <s v="292 Main St"/>
    <x v="1"/>
    <x v="1"/>
    <s v="TRK88749996"/>
    <n v="9"/>
    <s v="NO COUPON"/>
    <x v="3"/>
    <n v="2539.6999999999998"/>
  </r>
  <r>
    <s v="ORD201145"/>
    <d v="2025-05-12T00:00:00"/>
    <s v="C28152"/>
    <s v="Desk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s v="Monitor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s v="Chair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s v="Phone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s v="Chair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s v="Desk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s v="Chair"/>
    <n v="2"/>
    <n v="608.04"/>
    <s v="962 Main St"/>
    <x v="4"/>
    <x v="1"/>
    <s v="TRK69804304"/>
    <n v="4"/>
    <s v="NO COUPON"/>
    <x v="4"/>
    <n v="1216.08"/>
  </r>
  <r>
    <s v="ORD201152"/>
    <d v="2023-11-09T00:00:00"/>
    <s v="C25162"/>
    <s v="Tablet"/>
    <n v="2"/>
    <n v="344.18"/>
    <s v="533 Main St"/>
    <x v="2"/>
    <x v="0"/>
    <s v="TRK42183078"/>
    <n v="7"/>
    <s v="NO COUPON"/>
    <x v="1"/>
    <n v="688.36"/>
  </r>
  <r>
    <s v="ORD201153"/>
    <d v="2024-12-16T00:00:00"/>
    <s v="C98317"/>
    <s v="Monitor"/>
    <n v="4"/>
    <n v="696.71"/>
    <s v="276 Main St"/>
    <x v="0"/>
    <x v="0"/>
    <s v="TRK37172138"/>
    <n v="4"/>
    <s v="NO COUPON"/>
    <x v="0"/>
    <n v="2786.84"/>
  </r>
  <r>
    <s v="ORD201154"/>
    <d v="2025-06-11T00:00:00"/>
    <s v="C53631"/>
    <s v="Monitor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s v="Printer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s v="Laptop"/>
    <n v="4"/>
    <n v="690.78"/>
    <s v="980 Main St"/>
    <x v="2"/>
    <x v="0"/>
    <s v="TRK98234737"/>
    <n v="9"/>
    <s v="NO COUPON"/>
    <x v="1"/>
    <n v="2763.12"/>
  </r>
  <r>
    <s v="ORD201157"/>
    <d v="2024-05-29T00:00:00"/>
    <s v="C25841"/>
    <s v="Monitor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s v="Monitor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s v="Desk"/>
    <n v="4"/>
    <n v="466.7"/>
    <s v="874 Main St"/>
    <x v="0"/>
    <x v="2"/>
    <s v="TRK60955607"/>
    <n v="8"/>
    <s v="NO COUPON"/>
    <x v="0"/>
    <n v="1866.8"/>
  </r>
  <r>
    <s v="ORD201160"/>
    <d v="2024-09-04T00:00:00"/>
    <s v="C40466"/>
    <s v="Desk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s v="Phone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s v="Phone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s v="Laptop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s v="Tablet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s v="Chair"/>
    <n v="3"/>
    <n v="223.79"/>
    <s v="617 Main St"/>
    <x v="0"/>
    <x v="4"/>
    <s v="TRK63460217"/>
    <n v="3"/>
    <s v="NO COUPON"/>
    <x v="4"/>
    <n v="671.37"/>
  </r>
  <r>
    <s v="ORD201166"/>
    <d v="2023-07-31T00:00:00"/>
    <s v="C95568"/>
    <s v="Chair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s v="Printer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s v="Laptop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s v="Chair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s v="Printer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s v="Phone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s v="Desk"/>
    <n v="3"/>
    <n v="131.96"/>
    <s v="745 Main St"/>
    <x v="2"/>
    <x v="4"/>
    <s v="TRK32550359"/>
    <n v="8"/>
    <s v="NO COUPON"/>
    <x v="0"/>
    <n v="395.88"/>
  </r>
  <r>
    <s v="ORD201173"/>
    <d v="2024-10-04T00:00:00"/>
    <s v="C82921"/>
    <s v="Monitor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s v="Printer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s v="Printer"/>
    <n v="3"/>
    <n v="91.74"/>
    <s v="368 Main St"/>
    <x v="0"/>
    <x v="2"/>
    <s v="TRK24139954"/>
    <n v="8"/>
    <s v="FREESHIP"/>
    <x v="1"/>
    <n v="275.21999999999997"/>
  </r>
  <r>
    <s v="ORD201176"/>
    <d v="2023-08-13T00:00:00"/>
    <s v="C39260"/>
    <s v="Tablet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s v="Printer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s v="Monitor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s v="Laptop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s v="Chair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s v="Desk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s v="Chair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s v="Desk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s v="Laptop"/>
    <n v="1"/>
    <n v="204.08"/>
    <s v="979 Main St"/>
    <x v="3"/>
    <x v="2"/>
    <s v="TRK86297895"/>
    <n v="4"/>
    <s v="NO COUPON"/>
    <x v="4"/>
    <n v="204.08"/>
  </r>
  <r>
    <s v="ORD201185"/>
    <d v="2024-07-08T00:00:00"/>
    <s v="C77344"/>
    <s v="Chair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s v="Monitor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s v="Desk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s v="Printer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s v="Tablet"/>
    <n v="5"/>
    <n v="389.22"/>
    <s v="149 Main St"/>
    <x v="4"/>
    <x v="1"/>
    <s v="TRK60856682"/>
    <n v="7"/>
    <s v="NO COUPON"/>
    <x v="1"/>
    <n v="1946.1000000000001"/>
  </r>
  <r>
    <s v="ORD201190"/>
    <d v="2025-06-08T00:00:00"/>
    <s v="C46886"/>
    <s v="Desk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s v="Desk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s v="Chair"/>
    <n v="3"/>
    <n v="432.85"/>
    <s v="999 Main St"/>
    <x v="1"/>
    <x v="4"/>
    <s v="TRK16240916"/>
    <n v="4"/>
    <s v="NO COUPON"/>
    <x v="0"/>
    <n v="1298.5500000000002"/>
  </r>
  <r>
    <s v="ORD201193"/>
    <d v="2025-06-16T00:00:00"/>
    <s v="C45104"/>
    <s v="Tablet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s v="Printer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s v="Desk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s v="Monitor"/>
    <n v="2"/>
    <n v="662.53"/>
    <s v="778 Main St"/>
    <x v="1"/>
    <x v="1"/>
    <s v="TRK69207593"/>
    <n v="5"/>
    <s v="NO COUPON"/>
    <x v="3"/>
    <n v="1325.06"/>
  </r>
  <r>
    <s v="ORD201197"/>
    <d v="2023-07-13T00:00:00"/>
    <s v="C79674"/>
    <s v="Tablet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s v="Chair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s v="Tablet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2E4D3-0BF8-4207-B543-68573BC75F25}" name="Pivo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8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aymentMethod Analysis" fld="7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E0DAA-AB92-4E79-8FBF-1432BC616C9B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4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tatus Analysis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6C3FA-5C31-44F1-BDF3-A1B903D3FCEB}" name="PivotTable1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2:B68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ferralSource Analysis" fld="12" subtotal="count" baseField="12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6BE4-49CF-4E10-ACEF-5228E0DF3B2C}">
  <dimension ref="A2:E97"/>
  <sheetViews>
    <sheetView tabSelected="1" workbookViewId="0">
      <selection activeCell="A19" sqref="A19:D30"/>
    </sheetView>
  </sheetViews>
  <sheetFormatPr defaultRowHeight="14.6" x14ac:dyDescent="0.4"/>
  <cols>
    <col min="1" max="1" width="27.69140625" bestFit="1" customWidth="1"/>
    <col min="2" max="2" width="22.3046875" bestFit="1" customWidth="1"/>
    <col min="3" max="3" width="10.84375" bestFit="1" customWidth="1"/>
    <col min="4" max="4" width="10.61328125" bestFit="1" customWidth="1"/>
    <col min="5" max="5" width="11.84375" bestFit="1" customWidth="1"/>
  </cols>
  <sheetData>
    <row r="2" spans="1:5" x14ac:dyDescent="0.4">
      <c r="A2" s="1" t="s">
        <v>0</v>
      </c>
    </row>
    <row r="4" spans="1:5" x14ac:dyDescent="0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4">
      <c r="A5" t="s">
        <v>6</v>
      </c>
      <c r="B5">
        <f>COUNT([1]!Sheet1[Quantity])</f>
        <v>1200</v>
      </c>
      <c r="C5">
        <f>COUNT([1]Sheet1!F2:F1201)</f>
        <v>1200</v>
      </c>
      <c r="D5">
        <f>SUM([1]!Sheet1[ItemsInCart])</f>
        <v>6582</v>
      </c>
      <c r="E5">
        <f>SUM([1]!Sheet1[TotalPrice])</f>
        <v>1264761.9600000004</v>
      </c>
    </row>
    <row r="6" spans="1:5" x14ac:dyDescent="0.4">
      <c r="A6" t="s">
        <v>7</v>
      </c>
      <c r="B6" s="3">
        <f>AVERAGE([1]!Sheet1[Quantity])</f>
        <v>2.9458333333333333</v>
      </c>
      <c r="C6">
        <f>AVERAGE([1]!Sheet1[UnitPrice])</f>
        <v>356.41275000000007</v>
      </c>
      <c r="D6">
        <f>AVERAGE([1]!Sheet1[ItemsInCart])</f>
        <v>5.4850000000000003</v>
      </c>
      <c r="E6">
        <f>AVERAGE([1]!Sheet1[TotalPrice])</f>
        <v>1053.9683000000005</v>
      </c>
    </row>
    <row r="7" spans="1:5" x14ac:dyDescent="0.4">
      <c r="A7" t="s">
        <v>8</v>
      </c>
      <c r="B7">
        <f>MEDIAN([1]!Sheet1[Quantity])</f>
        <v>3</v>
      </c>
      <c r="C7">
        <f>MEDIAN([1]!Sheet1[UnitPrice])</f>
        <v>364.21</v>
      </c>
      <c r="D7">
        <f>AVERAGE([1]!Sheet1[ItemsInCart])</f>
        <v>5.4850000000000003</v>
      </c>
      <c r="E7">
        <f>MEDIAN([1]!Sheet1[TotalPrice])</f>
        <v>823.61500000000001</v>
      </c>
    </row>
    <row r="8" spans="1:5" x14ac:dyDescent="0.4">
      <c r="A8" t="s">
        <v>9</v>
      </c>
      <c r="B8">
        <f>MIN([1]!Sheet1[Quantity])</f>
        <v>1</v>
      </c>
      <c r="C8">
        <f>MIN([1]!Sheet1[UnitPrice])</f>
        <v>11.39</v>
      </c>
      <c r="D8">
        <f>MIN([1]!Sheet1[ItemsInCart])</f>
        <v>1</v>
      </c>
      <c r="E8">
        <f>MIN([1]!Sheet1[TotalPrice])</f>
        <v>11.39</v>
      </c>
    </row>
    <row r="9" spans="1:5" x14ac:dyDescent="0.4">
      <c r="A9" t="s">
        <v>10</v>
      </c>
      <c r="B9">
        <f>MAX([1]!Sheet1[Quantity])</f>
        <v>5</v>
      </c>
      <c r="C9">
        <f>MAX([1]!Sheet1[UnitPrice])</f>
        <v>699.93</v>
      </c>
      <c r="D9">
        <f>MAX([1]!Sheet1[ItemsInCart])</f>
        <v>10</v>
      </c>
      <c r="E9">
        <f>MAX([1]!Sheet1[TotalPrice])</f>
        <v>3456.3999999999996</v>
      </c>
    </row>
    <row r="11" spans="1:5" x14ac:dyDescent="0.4">
      <c r="A11" s="4" t="s">
        <v>11</v>
      </c>
    </row>
    <row r="12" spans="1:5" x14ac:dyDescent="0.4">
      <c r="A12" t="s">
        <v>12</v>
      </c>
    </row>
    <row r="13" spans="1:5" x14ac:dyDescent="0.4">
      <c r="A13" t="s">
        <v>13</v>
      </c>
    </row>
    <row r="14" spans="1:5" x14ac:dyDescent="0.4">
      <c r="A14" t="s">
        <v>14</v>
      </c>
    </row>
    <row r="15" spans="1:5" x14ac:dyDescent="0.4">
      <c r="A15" t="s">
        <v>15</v>
      </c>
    </row>
    <row r="16" spans="1:5" x14ac:dyDescent="0.4">
      <c r="A16" t="s">
        <v>16</v>
      </c>
    </row>
    <row r="20" spans="1:2" x14ac:dyDescent="0.4">
      <c r="A20" s="1" t="s">
        <v>17</v>
      </c>
    </row>
    <row r="22" spans="1:2" x14ac:dyDescent="0.4">
      <c r="A22" s="7" t="s">
        <v>18</v>
      </c>
      <c r="B22" t="s">
        <v>19</v>
      </c>
    </row>
    <row r="23" spans="1:2" x14ac:dyDescent="0.4">
      <c r="A23" s="5" t="s">
        <v>20</v>
      </c>
      <c r="B23">
        <v>246</v>
      </c>
    </row>
    <row r="24" spans="1:2" x14ac:dyDescent="0.4">
      <c r="A24" s="5" t="s">
        <v>21</v>
      </c>
      <c r="B24">
        <v>234</v>
      </c>
    </row>
    <row r="25" spans="1:2" x14ac:dyDescent="0.4">
      <c r="A25" s="5" t="s">
        <v>22</v>
      </c>
      <c r="B25">
        <v>232</v>
      </c>
    </row>
    <row r="26" spans="1:2" x14ac:dyDescent="0.4">
      <c r="A26" s="5" t="s">
        <v>23</v>
      </c>
      <c r="B26">
        <v>230</v>
      </c>
    </row>
    <row r="27" spans="1:2" x14ac:dyDescent="0.4">
      <c r="A27" s="5" t="s">
        <v>24</v>
      </c>
      <c r="B27">
        <v>258</v>
      </c>
    </row>
    <row r="28" spans="1:2" x14ac:dyDescent="0.4">
      <c r="A28" s="5" t="s">
        <v>25</v>
      </c>
      <c r="B28">
        <v>1200</v>
      </c>
    </row>
    <row r="31" spans="1:2" x14ac:dyDescent="0.4">
      <c r="A31" s="6" t="s">
        <v>11</v>
      </c>
    </row>
    <row r="32" spans="1:2" x14ac:dyDescent="0.4">
      <c r="A32" s="5" t="s">
        <v>26</v>
      </c>
    </row>
    <row r="33" spans="1:2" x14ac:dyDescent="0.4">
      <c r="A33" s="5" t="s">
        <v>27</v>
      </c>
    </row>
    <row r="34" spans="1:2" x14ac:dyDescent="0.4">
      <c r="A34" s="5" t="s">
        <v>28</v>
      </c>
    </row>
    <row r="35" spans="1:2" x14ac:dyDescent="0.4">
      <c r="A35" s="5" t="s">
        <v>29</v>
      </c>
    </row>
    <row r="39" spans="1:2" x14ac:dyDescent="0.4">
      <c r="A39" s="1" t="s">
        <v>30</v>
      </c>
    </row>
    <row r="41" spans="1:2" x14ac:dyDescent="0.4">
      <c r="A41" s="7" t="s">
        <v>18</v>
      </c>
      <c r="B41" t="s">
        <v>31</v>
      </c>
    </row>
    <row r="42" spans="1:2" x14ac:dyDescent="0.4">
      <c r="A42" s="5" t="s">
        <v>32</v>
      </c>
      <c r="B42">
        <v>250</v>
      </c>
    </row>
    <row r="43" spans="1:2" x14ac:dyDescent="0.4">
      <c r="A43" s="5" t="s">
        <v>33</v>
      </c>
      <c r="B43">
        <v>231</v>
      </c>
    </row>
    <row r="44" spans="1:2" x14ac:dyDescent="0.4">
      <c r="A44" s="5" t="s">
        <v>34</v>
      </c>
      <c r="B44">
        <v>237</v>
      </c>
    </row>
    <row r="45" spans="1:2" x14ac:dyDescent="0.4">
      <c r="A45" s="5" t="s">
        <v>35</v>
      </c>
      <c r="B45">
        <v>247</v>
      </c>
    </row>
    <row r="46" spans="1:2" x14ac:dyDescent="0.4">
      <c r="A46" s="5" t="s">
        <v>36</v>
      </c>
      <c r="B46">
        <v>235</v>
      </c>
    </row>
    <row r="47" spans="1:2" x14ac:dyDescent="0.4">
      <c r="A47" s="5" t="s">
        <v>25</v>
      </c>
      <c r="B47">
        <v>1200</v>
      </c>
    </row>
    <row r="52" spans="1:2" x14ac:dyDescent="0.4">
      <c r="A52" s="4" t="s">
        <v>11</v>
      </c>
    </row>
    <row r="53" spans="1:2" x14ac:dyDescent="0.4">
      <c r="A53" t="s">
        <v>37</v>
      </c>
    </row>
    <row r="54" spans="1:2" x14ac:dyDescent="0.4">
      <c r="A54" t="s">
        <v>38</v>
      </c>
    </row>
    <row r="55" spans="1:2" x14ac:dyDescent="0.4">
      <c r="A55" t="s">
        <v>39</v>
      </c>
    </row>
    <row r="56" spans="1:2" x14ac:dyDescent="0.4">
      <c r="A56" t="s">
        <v>40</v>
      </c>
    </row>
    <row r="60" spans="1:2" x14ac:dyDescent="0.4">
      <c r="A60" s="1" t="s">
        <v>41</v>
      </c>
    </row>
    <row r="62" spans="1:2" x14ac:dyDescent="0.4">
      <c r="A62" s="7" t="s">
        <v>18</v>
      </c>
      <c r="B62" t="s">
        <v>42</v>
      </c>
    </row>
    <row r="63" spans="1:2" x14ac:dyDescent="0.4">
      <c r="A63" s="5" t="s">
        <v>43</v>
      </c>
      <c r="B63">
        <v>250</v>
      </c>
    </row>
    <row r="64" spans="1:2" x14ac:dyDescent="0.4">
      <c r="A64" s="5" t="s">
        <v>44</v>
      </c>
      <c r="B64">
        <v>228</v>
      </c>
    </row>
    <row r="65" spans="1:2" x14ac:dyDescent="0.4">
      <c r="A65" s="5" t="s">
        <v>45</v>
      </c>
      <c r="B65">
        <v>241</v>
      </c>
    </row>
    <row r="66" spans="1:2" x14ac:dyDescent="0.4">
      <c r="A66" s="5" t="s">
        <v>46</v>
      </c>
      <c r="B66">
        <v>259</v>
      </c>
    </row>
    <row r="67" spans="1:2" x14ac:dyDescent="0.4">
      <c r="A67" s="5" t="s">
        <v>47</v>
      </c>
      <c r="B67">
        <v>222</v>
      </c>
    </row>
    <row r="68" spans="1:2" x14ac:dyDescent="0.4">
      <c r="A68" s="5" t="s">
        <v>25</v>
      </c>
      <c r="B68">
        <v>1200</v>
      </c>
    </row>
    <row r="70" spans="1:2" x14ac:dyDescent="0.4">
      <c r="A70" s="6" t="s">
        <v>11</v>
      </c>
    </row>
    <row r="71" spans="1:2" x14ac:dyDescent="0.4">
      <c r="A71" s="5" t="s">
        <v>48</v>
      </c>
    </row>
    <row r="72" spans="1:2" x14ac:dyDescent="0.4">
      <c r="A72" s="5" t="s">
        <v>49</v>
      </c>
    </row>
    <row r="73" spans="1:2" x14ac:dyDescent="0.4">
      <c r="A73" s="5" t="s">
        <v>50</v>
      </c>
    </row>
    <row r="74" spans="1:2" x14ac:dyDescent="0.4">
      <c r="A74" s="5" t="s">
        <v>51</v>
      </c>
    </row>
    <row r="78" spans="1:2" x14ac:dyDescent="0.4">
      <c r="A78" s="1" t="s">
        <v>52</v>
      </c>
    </row>
    <row r="80" spans="1:2" x14ac:dyDescent="0.4">
      <c r="A80" s="4" t="s">
        <v>11</v>
      </c>
    </row>
    <row r="81" spans="1:1" x14ac:dyDescent="0.4">
      <c r="A81" t="s">
        <v>53</v>
      </c>
    </row>
    <row r="82" spans="1:1" x14ac:dyDescent="0.4">
      <c r="A82" t="s">
        <v>54</v>
      </c>
    </row>
    <row r="83" spans="1:1" x14ac:dyDescent="0.4">
      <c r="A83" t="s">
        <v>55</v>
      </c>
    </row>
    <row r="87" spans="1:1" x14ac:dyDescent="0.4">
      <c r="A87" s="1" t="s">
        <v>56</v>
      </c>
    </row>
    <row r="89" spans="1:1" x14ac:dyDescent="0.4">
      <c r="A89" s="4" t="s">
        <v>11</v>
      </c>
    </row>
    <row r="90" spans="1:1" x14ac:dyDescent="0.4">
      <c r="A90" t="s">
        <v>57</v>
      </c>
    </row>
    <row r="91" spans="1:1" x14ac:dyDescent="0.4">
      <c r="A91" t="s">
        <v>58</v>
      </c>
    </row>
    <row r="92" spans="1:1" x14ac:dyDescent="0.4">
      <c r="A92" t="s">
        <v>59</v>
      </c>
    </row>
    <row r="93" spans="1:1" x14ac:dyDescent="0.4">
      <c r="A93" t="s">
        <v>60</v>
      </c>
    </row>
    <row r="94" spans="1:1" x14ac:dyDescent="0.4">
      <c r="A94" t="s">
        <v>61</v>
      </c>
    </row>
    <row r="95" spans="1:1" x14ac:dyDescent="0.4">
      <c r="A95" t="s">
        <v>62</v>
      </c>
    </row>
    <row r="96" spans="1:1" x14ac:dyDescent="0.4">
      <c r="A96" t="s">
        <v>63</v>
      </c>
    </row>
    <row r="97" spans="1:1" x14ac:dyDescent="0.4">
      <c r="A97" t="s">
        <v>64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TYAGI</dc:creator>
  <cp:lastModifiedBy>ATUL TYAGI</cp:lastModifiedBy>
  <dcterms:created xsi:type="dcterms:W3CDTF">2026-06-15T16:37:02Z</dcterms:created>
  <dcterms:modified xsi:type="dcterms:W3CDTF">2026-06-15T16:49:36Z</dcterms:modified>
</cp:coreProperties>
</file>